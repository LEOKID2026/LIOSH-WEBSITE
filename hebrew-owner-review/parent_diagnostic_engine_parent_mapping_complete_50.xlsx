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307a28ec4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הסבר" sheetId="1" r:id="R430cd5aff8134e99"/>
    <x:sheet xmlns:r="http://schemas.openxmlformats.org/officeDocument/2006/relationships" name="02_מיפוי_מלא" sheetId="2" r:id="R3f3a368813f24cb4"/>
    <x:sheet xmlns:r="http://schemas.openxmlformats.org/officeDocument/2006/relationships" name="03_סיכום" sheetId="3" r:id="Rb850b8d5913b4f0c"/>
    <x:sheet xmlns:r="http://schemas.openxmlformats.org/officeDocument/2006/relationships" name="04_כללי_תצוגה" sheetId="4" r:id="R03b9842388b2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5"/>
      <x:color rgb="FFFFFF"/>
      <x:name val="Carlito"/>
    </x:font>
    <x:font>
      <x:b/>
      <x:sz val="11"/>
      <x:color rgb="1F4E79"/>
      <x:name val="Carlito"/>
    </x:font>
    <x:font>
      <x:sz val="11"/>
      <x:color rgb="7C2D12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FF7ED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166534"/>
      </x:font>
      <x:fill>
        <x:patternFill>
          <x:bgColor rgb="DCFCE7"/>
        </x:patternFill>
      </x:fill>
    </x:dxf>
    <x:dxf>
      <x:font>
        <x:color rgb="92400E"/>
      </x:font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f83872ddc4ef1" /><Relationship Type="http://schemas.openxmlformats.org/officeDocument/2006/relationships/theme" Target="/xl/theme/theme1.xml" Id="R5590e4a077554c2f" /><Relationship Type="http://schemas.openxmlformats.org/officeDocument/2006/relationships/sharedStrings" Target="/xl/sharedStrings.xml" Id="R52a1be16be654386" /><Relationship Type="http://schemas.openxmlformats.org/officeDocument/2006/relationships/worksheet" Target="/xl/worksheets/sheet1.xml" Id="R430cd5aff8134e99" /><Relationship Type="http://schemas.openxmlformats.org/officeDocument/2006/relationships/worksheet" Target="/xl/worksheets/sheet2.xml" Id="R3f3a368813f24cb4" /><Relationship Type="http://schemas.openxmlformats.org/officeDocument/2006/relationships/worksheet" Target="/xl/worksheets/sheet3.xml" Id="Rb850b8d5913b4f0c" /><Relationship Type="http://schemas.openxmlformats.org/officeDocument/2006/relationships/worksheet" Target="/xl/worksheets/sheet4.xml" Id="R03b9842388b249f9" /></Relationships>
</file>

<file path=xl/tables/table1.xml><?xml version="1.0" encoding="utf-8"?>
<x:table xmlns:x="http://schemas.openxmlformats.org/spreadsheetml/2006/main" id="1" name="ParentDiagnosisMapping" displayName="ParentDiagnosisMapping" ref="A1:K51" headerRowCount="1">
  <x:tableColumns count="11">
    <x:tableColumn id="1" name="מקצוע"/>
    <x:tableColumn id="2" name="קוד"/>
    <x:tableColumn id="3" name="מפתח lookup"/>
    <x:tableColumn id="4" name="הבחנה מקצועית"/>
    <x:tableColumn id="5" name="מה המנוע אומר / מזהה"/>
    <x:tableColumn id="6" name="מה ההורה רואה בדוח"/>
    <x:tableColumn id="7" name="הסבר להורה"/>
    <x:tableColumn id="8" name="דוגמה כללית"/>
    <x:tableColumn id="9" name="סטטוס"/>
    <x:tableColumn id="10" name="מקור אישור"/>
    <x:tableColumn id="11" name="הערו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0610e8182e424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72" hidden="0" customHeight="1">
      <x:c r="A1" s="6" t="str">
        <x:v>מיפוי הסברי אבחון לדוח הורים — מה המנוע אומר ומה ההורה רואה</x:v>
      </x:c>
      <x:c r="B1" s="6"/>
      <x:c r="C1" s="6"/>
      <x:c r="D1" s="6"/>
      <x:c r="E1" s="6"/>
      <x:c r="F1" s="6"/>
      <x:c r="G1" s="6"/>
      <x:c r="H1" s="6"/>
    </x:row>
    <x:row r="2"/>
    <x:row r="3" ht="15" hidden="0" customHeight="1">
      <x:c r="A3" s="16" t="str">
        <x:v>מטרה</x:v>
      </x:c>
      <x:c r="B3" s="16"/>
      <x:c r="C3" s="16"/>
      <x:c r="D3" s="16"/>
      <x:c r="E3" s="16"/>
      <x:c r="F3" s="16"/>
      <x:c r="G3" s="16"/>
      <x:c r="H3" s="16"/>
    </x:row>
    <x:row r="4" ht="118.80000305175781" hidden="0" customHeight="1">
      <x:c r="A4" s="24" t="str">
        <x:v>הקובץ מרכז את 50 אבחוני הטקסונומיה של מנוע האבחון בדוח הורים. לכל אבחון מופיעים: ההבחנה המקצועית, מה המנוע מזהה/אומר, מה ההורה רואה בדוח, ומה שורת ההסבר המאושרת שמתווספת רק אם אותו אבחון באמת הופיע אצל הילד/ה.</x:v>
      </x:c>
      <x:c r="B4" s="24"/>
      <x:c r="C4" s="24"/>
      <x:c r="D4" s="24"/>
      <x:c r="E4" s="24"/>
      <x:c r="F4" s="24"/>
      <x:c r="G4" s="24"/>
      <x:c r="H4" s="24"/>
    </x:row>
    <x:row r="5" ht="15" hidden="0" customHeight="1">
      <x:c r="A5" s="24"/>
      <x:c r="B5" s="24"/>
      <x:c r="C5" s="24"/>
      <x:c r="D5" s="24"/>
      <x:c r="E5" s="24"/>
      <x:c r="F5" s="24"/>
      <x:c r="G5" s="24"/>
      <x:c r="H5" s="24"/>
    </x:row>
    <x:row r="6" ht="15" hidden="0" customHeight="1">
      <x:c r="A6" s="24" t="str">
        <x:v>סטטוס עדכני</x:v>
      </x:c>
      <x:c r="B6" s="24" t="str">
        <x:v>כל 50 אבחוני הטקסונומיה מאושרים ומיושמים בדוח הורים</x:v>
      </x:c>
      <x:c r="C6" s="24" t="str">
        <x:v>כולל מתמטיקה, גיאומטריה, עברית, אנגלית, מדעים, מולדת/גאוגרפיה</x:v>
      </x:c>
      <x:c r="D6" s="24"/>
      <x:c r="E6" s="24"/>
      <x:c r="F6" s="24"/>
      <x:c r="G6" s="24"/>
      <x:c r="H6" s="24"/>
    </x:row>
    <x:row r="7" ht="15" hidden="0" customHeight="1">
      <x:c r="A7" s="24"/>
      <x:c r="B7" s="24"/>
      <x:c r="C7" s="24"/>
      <x:c r="D7" s="24"/>
      <x:c r="E7" s="24"/>
      <x:c r="F7" s="24"/>
      <x:c r="G7" s="24"/>
      <x:c r="H7" s="24"/>
    </x:row>
    <x:row r="8"/>
    <x:row r="9" ht="15" hidden="0" customHeight="1">
      <x:c r="A9" s="16" t="str">
        <x:v>כלל מוצרי חשוב</x:v>
      </x:c>
      <x:c r="B9" s="16"/>
      <x:c r="C9" s="16"/>
      <x:c r="D9" s="16"/>
      <x:c r="E9" s="16"/>
      <x:c r="F9" s="16"/>
      <x:c r="G9" s="16"/>
      <x:c r="H9" s="16"/>
    </x:row>
    <x:row r="10" ht="132" hidden="0" customHeight="1">
      <x:c r="A10" s="29" t="str">
        <x:v>לא מחליפים את שם האבחון המקצועי. לא מציגים מילון כללי. אם המנוע אבחן X — ההורה רואה את תווית/דפוס הקושי ובנוסף שורת הסבר קצרה שאושרה. אם המנוע לא אבחן X — לא מופיע הסבר על X. דוגמאות/תרגילים צריכים להופיע בשורה נפרדת ולא באמצע משפט עברי.</x:v>
      </x:c>
      <x:c r="B10" s="29"/>
      <x:c r="C10" s="29"/>
      <x:c r="D10" s="29"/>
      <x:c r="E10" s="29"/>
      <x:c r="F10" s="29"/>
      <x:c r="G10" s="29"/>
      <x:c r="H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</x:row>
    <x:row r="16"/>
    <x:row r="17" ht="15" hidden="0" customHeight="1">
      <x:c r="A17" s="38" t="str">
        <x:v>סטטוס</x:v>
      </x:c>
      <x:c r="B17" s="38" t="str">
        <x:v>משמעות</x:v>
      </x:c>
      <x:c r="C17" s="38" t="str">
        <x:v>פעולה</x:v>
      </x:c>
    </x:row>
    <x:row r="18" ht="26.399999618530273" hidden="0" customHeight="1">
      <x:c r="A18" s="22" t="str">
        <x:v>מיושם ומאושר</x:v>
      </x:c>
      <x:c r="B18" s="22" t="str">
        <x:v>ההסבר כבר אושר ונוסף לשכבת ההסברים</x:v>
      </x:c>
      <x:c r="C18" s="22" t="str">
        <x:v>נדרש רק בדיקת מסך לפי הצורך</x:v>
      </x:c>
    </x:row>
    <x:row r="19" ht="26.399999618530273" hidden="0" customHeight="1">
      <x:c r="A19" s="22" t="str">
        <x:v>ממתין ליישום/אישור</x:v>
      </x:c>
      <x:c r="B19" s="22" t="str">
        <x:v>נוסח מוכן בטבלה אבל לא דווח עדיין כמיושם</x:v>
      </x:c>
      <x:c r="C19" s="22" t="str">
        <x:v>להעביר לביצוע/אישור לפני הפעלה</x:v>
      </x:c>
    </x:row>
    <x:row r="20" ht="15" hidden="0" customHeight="1">
      <x:c r="A20" s="22" t="str">
        <x:v>לא רלוונטי</x:v>
      </x:c>
      <x:c r="B20" s="22" t="str">
        <x:v>אין אבחון כזה בדוח הספציפי</x:v>
      </x:c>
      <x:c r="C20" s="22" t="str">
        <x:v>לא מוצג להורה</x:v>
      </x:c>
    </x:row>
    <x:row r="21" ht="15" hidden="0" customHeight="1">
      <x:c r="A21" s="22" t="str">
        <x:v>לא ממופה</x:v>
      </x:c>
      <x:c r="B21" s="22" t="str">
        <x:v>אם יופיע אבחון לא מוכר</x:v>
      </x:c>
      <x:c r="C21" s="22" t="str">
        <x:v>לא להמציא הסבר</x:v>
      </x:c>
    </x:row>
    <x:row r="22" ht="15" hidden="0" customHeight="1">
      <x:c r="A22" s="22" t="str"/>
      <x:c r="B22" s="22" t="str"/>
      <x:c r="C22" s="22" t="str"/>
    </x:row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3:H3"/>
    <x:mergeCell ref="A4:H7"/>
    <x:mergeCell ref="A9:H9"/>
    <x:mergeCell ref="A10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8" hidden="0" customWidth="1"/>
    <x:col min="4" max="4" width="28" hidden="0" customWidth="1"/>
    <x:col min="5" max="5" width="30" hidden="0" customWidth="1"/>
    <x:col min="6" max="6" width="38" hidden="0" customWidth="1"/>
    <x:col min="7" max="7" width="55" hidden="0" customWidth="1"/>
    <x:col min="8" max="8" width="28" hidden="0" customWidth="1"/>
    <x:col min="9" max="9" width="20" hidden="0" customWidth="1"/>
    <x:col min="10" max="10" width="34" hidden="0" customWidth="1"/>
    <x:col min="11" max="11" width="40" hidden="0" customWidth="1"/>
  </x:cols>
  <x:sheetData>
    <x:row r="1" ht="15" hidden="0" customHeight="1">
      <x:c r="A1" s="44" t="str">
        <x:v>מקצוע</x:v>
      </x:c>
      <x:c r="B1" s="44" t="str">
        <x:v>קוד</x:v>
      </x:c>
      <x:c r="C1" s="44" t="str">
        <x:v>מפתח lookup</x:v>
      </x:c>
      <x:c r="D1" s="44" t="str">
        <x:v>הבחנה מקצועית</x:v>
      </x:c>
      <x:c r="E1" s="44" t="str">
        <x:v>מה המנוע אומר / מזהה</x:v>
      </x:c>
      <x:c r="F1" s="44" t="str">
        <x:v>מה ההורה רואה בדוח</x:v>
      </x:c>
      <x:c r="G1" s="44" t="str">
        <x:v>הסבר להורה</x:v>
      </x:c>
      <x:c r="H1" s="44" t="str">
        <x:v>דוגמה כללית</x:v>
      </x:c>
      <x:c r="I1" s="44" t="str">
        <x:v>סטטוס</x:v>
      </x:c>
      <x:c r="J1" s="44" t="str">
        <x:v>מקור אישור</x:v>
      </x:c>
      <x:c r="K1" s="44" t="str">
        <x:v>הערות</x:v>
      </x:c>
    </x:row>
    <x:row r="2" ht="26.399999618530273" hidden="0" customHeight="1">
      <x:c r="A2" s="24" t="str">
        <x:v>מתמטיקה</x:v>
      </x:c>
      <x:c r="B2" s="24" t="str">
        <x:v>M-01</x:v>
      </x:c>
      <x:c r="C2" s="24" t="str">
        <x:v>finding:taxonomy:M-01</x:v>
      </x:c>
      <x:c r="D2" s="24" t="str">
        <x:v>מבנה/פירוק — פירוק 10+1</x:v>
      </x:c>
      <x:c r="E2" s="24" t="str">
        <x:v>טעויות בהמרת ייצוג</x:v>
      </x:c>
      <x:c r="F2" s="24" t="str">
        <x:v>בדוח הורים: תווית הקושי שהמנוע מצא + הסבר מאושר מתחתיה</x:v>
      </x:c>
      <x:c r="G2" s="24" t="str">
        <x:v>המערכת זיהתה קושי בפירוק מספר לעשרות ויחידות. הכוונה היא להבין שמספר מורכב מעשרות ויחידות, כדי להשתמש בזה בחישוב.</x:v>
      </x:c>
      <x:c r="H2" s="24" t="str">
        <x:v>14 = 10 + 4</x:v>
      </x:c>
      <x:c r="I2" s="24" t="str">
        <x:v>מיושם ומאושר</x:v>
      </x:c>
      <x:c r="J2" s="24" t="str">
        <x:v>owner_math_batch_approved</x:v>
      </x:c>
      <x:c r="K2" s="24" t="str">
        <x:v>התווית המקצועית נשארת; ההסבר מופיע רק אם M-01 אובחן.</x:v>
      </x:c>
    </x:row>
    <x:row r="3" ht="26.399999618530273" hidden="0" customHeight="1">
      <x:c r="A3" s="24" t="str">
        <x:v>מתמטיקה</x:v>
      </x:c>
      <x:c r="B3" s="24" t="str">
        <x:v>M-02</x:v>
      </x:c>
      <x:c r="C3" s="24" t="str">
        <x:v>finding:taxonomy:M-02</x:v>
      </x:c>
      <x:c r="D3" s="24" t="str">
        <x:v>חיבור — נשיאה</x:v>
      </x:c>
      <x:c r="E3" s="24" t="str">
        <x:v>שגיאה בעמודת עשרות</x:v>
      </x:c>
      <x:c r="F3" s="24" t="str">
        <x:v>בדוח הורים ההורה לרוב רואה: שגיאה בעמודת עשרות; מתחתיה הסבר מאושר</x:v>
      </x:c>
      <x:c r="G3" s="24" t="str">
        <x:v>המערכת זיהתה קושי בחיבור שבו צריך להעביר עשרת לעמודה הבאה. זה קורה כשמחברים ספרות ומתקבל מספר גדול מ־9.</x:v>
      </x:c>
      <x:c r="H3" s="24" t="str">
        <x:v>27 + 18</x:v>
      </x:c>
      <x:c r="I3" s="24" t="str">
        <x:v>מיושם ומאושר</x:v>
      </x:c>
      <x:c r="J3" s="24" t="str">
        <x:v>owner_math_batch_approved</x:v>
      </x:c>
      <x:c r="K3" s="24" t="str">
        <x:v>נשיאה נשארת אבחון מקצועי; ההורה מקבל פירוש קצר.</x:v>
      </x:c>
    </x:row>
    <x:row r="4" ht="39.599998474121094" hidden="0" customHeight="1">
      <x:c r="A4" s="24" t="str">
        <x:v>מתמטיקה</x:v>
      </x:c>
      <x:c r="B4" s="24" t="str">
        <x:v>M-03</x:v>
      </x:c>
      <x:c r="C4" s="24" t="str">
        <x:v>finding:taxonomy:M-03</x:v>
      </x:c>
      <x:c r="D4" s="24" t="str">
        <x:v>כפל — עובדת כפל</x:v>
      </x:c>
      <x:c r="E4" s="24" t="str">
        <x:v>אותם זוגות שגויים</x:v>
      </x:c>
      <x:c r="F4" s="24" t="str">
        <x:v>בדוח הורים: דפוס של זוגות כפל שחוזרים עם טעויות + הסבר מאושר</x:v>
      </x:c>
      <x:c r="G4" s="24" t="str">
        <x:v>המערכת זיהתה קושי בשליפה של תרגילי כפל בסיסיים. הכוונה היא לזוגות מספרים בכפל שכדאי לדעת במהירות ובדיוק, בלי לחשב מההתחלה בכל פעם.</x:v>
      </x:c>
      <x:c r="H4" s="24" t="str">
        <x:v>7 × 8</x:v>
      </x:c>
      <x:c r="I4" s="24" t="str">
        <x:v>מיושם ומאושר</x:v>
      </x:c>
      <x:c r="J4" s="24" t="str">
        <x:v>owner_math_batch_approved</x:v>
      </x:c>
      <x:c r="K4" s="24" t="str"/>
    </x:row>
    <x:row r="5" ht="39.599998474121094" hidden="0" customHeight="1">
      <x:c r="A5" s="24" t="str">
        <x:v>מתמטיקה</x:v>
      </x:c>
      <x:c r="B5" s="24" t="str">
        <x:v>M-04</x:v>
      </x:c>
      <x:c r="C5" s="24" t="str">
        <x:v>finding:taxonomy:M-04</x:v>
      </x:c>
      <x:c r="D5" s="24" t="str">
        <x:v>שברים — חלק־כלל</x:v>
      </x:c>
      <x:c r="E5" s="24" t="str">
        <x:v>השוואה לפי מונה בלבד</x:v>
      </x:c>
      <x:c r="F5" s="24" t="str">
        <x:v>בדוח הורים: קושי בשברים/חלק־כלל + הסבר מאושר</x:v>
      </x:c>
      <x:c r="G5" s="24" t="str">
        <x:v>המערכת זיהתה קושי בהבנה ששבר מייצג חלק מתוך שלם. חשוב להבין שהמספר התחתון אומר לכמה חלקים השלם חולק, והמספר העליון אומר כמה חלקים נלקחו.</x:v>
      </x:c>
      <x:c r="H5" s="24" t="str">
        <x:v>2/3</x:v>
      </x:c>
      <x:c r="I5" s="24" t="str">
        <x:v>מיושם ומאושר</x:v>
      </x:c>
      <x:c r="J5" s="24" t="str">
        <x:v>owner_math_batch_approved</x:v>
      </x:c>
      <x:c r="K5" s="24" t="str"/>
    </x:row>
    <x:row r="6" ht="39.599998474121094" hidden="0" customHeight="1">
      <x:c r="A6" s="24" t="str">
        <x:v>מתמטיקה</x:v>
      </x:c>
      <x:c r="B6" s="24" t="str">
        <x:v>M-05</x:v>
      </x:c>
      <x:c r="C6" s="24" t="str">
        <x:v>finding:taxonomy:M-05</x:v>
      </x:c>
      <x:c r="D6" s="24" t="str">
        <x:v>שברים — המראה</x:v>
      </x:c>
      <x:c r="E6" s="24" t="str">
        <x:v>טעות בשלב התאמת מכנה/המראה</x:v>
      </x:c>
      <x:c r="F6" s="24" t="str">
        <x:v>בדוח הורים: קושי בשברים עם מכנים שונים + הסבר מאושר</x:v>
      </x:c>
      <x:c r="G6" s="24" t="str">
        <x:v>המערכת זיהתה קושי בחיבור או חיסור שברים כשצריך להביא אותם לאותו מכנה לפני החישוב. כלומר, לא מחברים מיד את המונים והמכנים, אלא קודם כותבים את השברים באותו סוג חלקים.</x:v>
      </x:c>
      <x:c r="H6" s="24" t="str">
        <x:v>1/2 + 1/3</x:v>
      </x:c>
      <x:c r="I6" s="24" t="str">
        <x:v>מיושם ומאושר</x:v>
      </x:c>
      <x:c r="J6" s="24" t="str">
        <x:v>owner_math_batch_approved</x:v>
      </x:c>
      <x:c r="K6" s="24" t="str">
        <x:v>לא משנים את המונח המקצועי 'המראה'.</x:v>
      </x:c>
    </x:row>
    <x:row r="7" ht="39.599998474121094" hidden="0" customHeight="1">
      <x:c r="A7" s="24" t="str">
        <x:v>מתמטיקה</x:v>
      </x:c>
      <x:c r="B7" s="24" t="str">
        <x:v>M-06</x:v>
      </x:c>
      <x:c r="C7" s="24" t="str">
        <x:v>finding:taxonomy:M-06</x:v>
      </x:c>
      <x:c r="D7" s="24" t="str">
        <x:v>עשרוניים — עיגול/השוואה</x:v>
      </x:c>
      <x:c r="E7" s="24" t="str">
        <x:v>בלבול בכיוון העיגול</x:v>
      </x:c>
      <x:c r="F7" s="24" t="str">
        <x:v>בדוח הורים: קושי בעיגול/השוואה של עשרוניים + הסבר מאושר</x:v>
      </x:c>
      <x:c r="G7" s="24" t="str">
        <x:v>המערכת זיהתה קושי בעיגול או בהשוואה של מספרים עשרוניים. הכוונה היא להבין את הספרות שאחרי הנקודה ולדעת לפי איזו ספרה מחליטים אם לעגל למעלה או להשאיר.</x:v>
      </x:c>
      <x:c r="H7" s="24" t="str">
        <x:v>4.67 → 4.7</x:v>
      </x:c>
      <x:c r="I7" s="24" t="str">
        <x:v>מיושם ומאושר</x:v>
      </x:c>
      <x:c r="J7" s="24" t="str">
        <x:v>owner_math_batch_approved</x:v>
      </x:c>
      <x:c r="K7" s="24" t="str"/>
    </x:row>
    <x:row r="8" ht="39.599998474121094" hidden="0" customHeight="1">
      <x:c r="A8" s="24" t="str">
        <x:v>מתמטיקה</x:v>
      </x:c>
      <x:c r="B8" s="24" t="str">
        <x:v>M-07</x:v>
      </x:c>
      <x:c r="C8" s="24" t="str">
        <x:v>finding:taxonomy:M-07</x:v>
      </x:c>
      <x:c r="D8" s="24" t="str">
        <x:v>בעיות מילוליות — יחידות</x:v>
      </x:c>
      <x:c r="E8" s="24" t="str">
        <x:v>מספר נכון + יחידה שגויה</x:v>
      </x:c>
      <x:c r="F8" s="24" t="str">
        <x:v>בדוח הורים: קושי בהתאמת יחידות בתשובה + הסבר מאושר</x:v>
      </x:c>
      <x:c r="G8" s="24" t="str">
        <x:v>המערכת זיהתה קושי בהתאמת יחידת המידה לתשובה. ייתכן שהחישוב המספרי נכון, אבל צריך לבדוק אם התשובה צריכה להיות בקילוגרמים, מטרים, שקלים, דקות וכדומה.</x:v>
      </x:c>
      <x:c r="H8" s="24" t="str">
        <x:v>5 ק״מ / 5 ק״ג</x:v>
      </x:c>
      <x:c r="I8" s="24" t="str">
        <x:v>מיושם ומאושר</x:v>
      </x:c>
      <x:c r="J8" s="24" t="str">
        <x:v>owner_math_batch_approved</x:v>
      </x:c>
      <x:c r="K8" s="24" t="str"/>
    </x:row>
    <x:row r="9" ht="39.599998474121094" hidden="0" customHeight="1">
      <x:c r="A9" s="24" t="str">
        <x:v>מתמטיקה</x:v>
      </x:c>
      <x:c r="B9" s="24" t="str">
        <x:v>M-08</x:v>
      </x:c>
      <x:c r="C9" s="24" t="str">
        <x:v>finding:taxonomy:M-08</x:v>
      </x:c>
      <x:c r="D9" s="24" t="str">
        <x:v>בעיות מילוליות — רב־שלבי</x:v>
      </x:c>
      <x:c r="E9" s="24" t="str">
        <x:v>כישלון רק באיחוד/בשילוב שלבים</x:v>
      </x:c>
      <x:c r="F9" s="24" t="str">
        <x:v>בדוח הורים: קושי בבעיה עם כמה שלבים + הסבר מאושר</x:v>
      </x:c>
      <x:c r="G9" s="24" t="str">
        <x:v>המערכת זיהתה קושי בפתרון בעיות מילוליות שיש בהן יותר משלב אחד. הכוונה היא לזהות מה צריך לעשות קודם, להשתמש בתוצאה, ואז להמשיך לשלב הבא.</x:v>
      </x:c>
      <x:c r="H9" s="24" t="str">
        <x:v>קנייה + עודף</x:v>
      </x:c>
      <x:c r="I9" s="24" t="str">
        <x:v>מיושם ומאושר</x:v>
      </x:c>
      <x:c r="J9" s="24" t="str">
        <x:v>owner_math_batch_approved</x:v>
      </x:c>
      <x:c r="K9" s="24" t="str"/>
    </x:row>
    <x:row r="10" ht="39.599998474121094" hidden="0" customHeight="1">
      <x:c r="A10" s="24" t="str">
        <x:v>מתמטיקה</x:v>
      </x:c>
      <x:c r="B10" s="24" t="str">
        <x:v>M-09</x:v>
      </x:c>
      <x:c r="C10" s="24" t="str">
        <x:v>finding:taxonomy:M-09</x:v>
      </x:c>
      <x:c r="D10" s="24" t="str">
        <x:v>חיסור — השלמה לעשר</x:v>
      </x:c>
      <x:c r="E10" s="24" t="str">
        <x:v>כיוון הפוך / הוספה במקום חיסור</x:v>
      </x:c>
      <x:c r="F10" s="24" t="str">
        <x:v>בדוח הורים: קושי באסטרטגיית השלמה לעשר + הסבר מאושר</x:v>
      </x:c>
      <x:c r="G10" s="24" t="str">
        <x:v>המערכת זיהתה קושי בשימוש בעשר הקרובה כדי לחשב חיסור. הכוונה היא לפרק את החיסור לצעדים קטנים, קודם להגיע לעשר ואז להמשיך לחסר.</x:v>
      </x:c>
      <x:c r="H10" s="24" t="str">
        <x:v>13 - 5</x:v>
      </x:c>
      <x:c r="I10" s="24" t="str">
        <x:v>מיושם ומאושר</x:v>
      </x:c>
      <x:c r="J10" s="24" t="str">
        <x:v>owner_math_batch_approved</x:v>
      </x:c>
      <x:c r="K10" s="24" t="str"/>
    </x:row>
    <x:row r="11" ht="39.599998474121094" hidden="0" customHeight="1">
      <x:c r="A11" s="24" t="str">
        <x:v>מתמטיקה</x:v>
      </x:c>
      <x:c r="B11" s="24" t="str">
        <x:v>M-10</x:v>
      </x:c>
      <x:c r="C11" s="24" t="str">
        <x:v>finding:taxonomy:M-10</x:v>
      </x:c>
      <x:c r="D11" s="24" t="str">
        <x:v>חילוק — הופכיות</x:v>
      </x:c>
      <x:c r="E11" s="24" t="str">
        <x:v>קושי בקישור בין כפל לחילוק</x:v>
      </x:c>
      <x:c r="F11" s="24" t="str">
        <x:v>בדוח הורים: קושי בקשר חילוק/כפל + הסבר מאושר</x:v>
      </x:c>
      <x:c r="G11" s="24" t="str">
        <x:v>המערכת זיהתה קושי בהבנת הקשר בין חילוק לכפל. כלומר, להשתמש בכפל כדי לבדוק תרגיל חילוק או לבחור את הפעולה המתאימה.</x:v>
      </x:c>
      <x:c r="H11" s="24" t="str">
        <x:v>12 ÷ 3 = 4; 4 × 3 = 12</x:v>
      </x:c>
      <x:c r="I11" s="24" t="str">
        <x:v>מיושם ומאושר</x:v>
      </x:c>
      <x:c r="J11" s="24" t="str">
        <x:v>owner_math_batch_approved</x:v>
      </x:c>
      <x:c r="K11" s="24" t="str">
        <x:v>דוגמת תרגיל חייבת להופיע בשורה נפרדת עם כיוון LTR.</x:v>
      </x:c>
    </x:row>
    <x:row r="12" ht="39.599998474121094" hidden="0" customHeight="1">
      <x:c r="A12" s="24" t="str">
        <x:v>גיאומטריה</x:v>
      </x:c>
      <x:c r="B12" s="24" t="str">
        <x:v>G-01</x:v>
      </x:c>
      <x:c r="C12" s="24" t="str">
        <x:v>finding:taxonomy:G-01</x:v>
      </x:c>
      <x:c r="D12" s="24" t="str">
        <x:v>מרובעים — תכונות מלבן/מקבילית</x:v>
      </x:c>
      <x:c r="E12" s="24" t="str">
        <x:v>בלבול תכונות</x:v>
      </x:c>
      <x:c r="F12" s="24" t="str">
        <x:v>בדוח הורים: תווית הקושי שהמנוע מצא + הסבר מאושר מתחתיה</x:v>
      </x:c>
      <x:c r="G12" s="24" t="str">
        <x:v>המערכת זיהתה קושי בהבחנה בין תכונות של מרובעים. הכוונה היא לדעת אילו צלעות מקבילות, אילו זוויות ישרות, ומה ההבדל בין מלבן, ריבוע ומקבילית.</x:v>
      </x:c>
      <x:c r="H12" s="24" t="str">
        <x:v>מלבן / מקבילית</x:v>
      </x:c>
      <x:c r="I12" s="24" t="str">
        <x:v>מיושם ומאושר</x:v>
      </x:c>
      <x:c r="J12" s="24" t="str">
        <x:v>owner_geometry_batch_approved</x:v>
      </x:c>
      <x:c r="K12" s="24" t="str"/>
    </x:row>
    <x:row r="13" ht="39.599998474121094" hidden="0" customHeight="1">
      <x:c r="A13" s="24" t="str">
        <x:v>גיאומטריה</x:v>
      </x:c>
      <x:c r="B13" s="24" t="str">
        <x:v>G-02</x:v>
      </x:c>
      <x:c r="C13" s="24" t="str">
        <x:v>finding:taxonomy:G-02</x:v>
      </x:c>
      <x:c r="D13" s="24" t="str">
        <x:v>זוויות — קריאת משקף</x:v>
      </x:c>
      <x:c r="E13" s="24" t="str">
        <x:v>טעות בקריאת זווית במשקף</x:v>
      </x:c>
      <x:c r="F13" s="24" t="str">
        <x:v>בדוח הורים: תווית הקושי שהמנוע מצא + הסבר מאושר מתחתיה</x:v>
      </x:c>
      <x:c r="G13" s="24" t="str">
        <x:v>המערכת זיהתה קושי בקריאת זווית בעזרת משקף. הכוונה היא להצמיד נכון את מרכז המשקף ואת קו האפס, ואז לקרוא את המספר מהסולם המתאים.</x:v>
      </x:c>
      <x:c r="H13" s="24" t="str">
        <x:v>40°</x:v>
      </x:c>
      <x:c r="I13" s="24" t="str">
        <x:v>מיושם ומאושר</x:v>
      </x:c>
      <x:c r="J13" s="24" t="str">
        <x:v>owner_geometry_batch_approved</x:v>
      </x:c>
      <x:c r="K13" s="24" t="str"/>
    </x:row>
    <x:row r="14" ht="39.599998474121094" hidden="0" customHeight="1">
      <x:c r="A14" s="24" t="str">
        <x:v>גיאומטריה</x:v>
      </x:c>
      <x:c r="B14" s="24" t="str">
        <x:v>G-03</x:v>
      </x:c>
      <x:c r="C14" s="24" t="str">
        <x:v>finding:taxonomy:G-03</x:v>
      </x:c>
      <x:c r="D14" s="24" t="str">
        <x:v>שטח — גובה</x:v>
      </x:c>
      <x:c r="E14" s="24" t="str">
        <x:v>צלעות כגובה</x:v>
      </x:c>
      <x:c r="F14" s="24" t="str">
        <x:v>בדוח הורים: תווית הקושי שהמנוע מצא + הסבר מאושר מתחתיה</x:v>
      </x:c>
      <x:c r="G14" s="24" t="str">
        <x:v>המערכת זיהתה קושי בזיהוי הגובה המתאים לחישוב שטח. בגיאומטריה גובה הוא קו שניצב לבסיס, ולא תמיד הצלע שנראית הכי ארוכה או אלכסונית.</x:v>
      </x:c>
      <x:c r="H14" s="24" t="str">
        <x:v>גובה ⟂ בסיס</x:v>
      </x:c>
      <x:c r="I14" s="24" t="str">
        <x:v>מיושם ומאושר</x:v>
      </x:c>
      <x:c r="J14" s="24" t="str">
        <x:v>owner_geometry_batch_approved</x:v>
      </x:c>
      <x:c r="K14" s="24" t="str"/>
    </x:row>
    <x:row r="15" ht="26.399999618530273" hidden="0" customHeight="1">
      <x:c r="A15" s="24" t="str">
        <x:v>גיאומטריה</x:v>
      </x:c>
      <x:c r="B15" s="24" t="str">
        <x:v>G-04</x:v>
      </x:c>
      <x:c r="C15" s="24" t="str">
        <x:v>finding:taxonomy:G-04</x:v>
      </x:c>
      <x:c r="D15" s="24" t="str">
        <x:v>סיבוב — כיוון/זווית</x:v>
      </x:c>
      <x:c r="E15" s="24" t="str">
        <x:v>סיבוב הפוך</x:v>
      </x:c>
      <x:c r="F15" s="24" t="str">
        <x:v>בדוח הורים: תווית הקושי שהמנוע מצא + הסבר מאושר מתחתיה</x:v>
      </x:c>
      <x:c r="G15" s="24" t="str">
        <x:v>המערכת זיהתה קושי בזיהוי כיוון הסיבוב או גודל הסיבוב. הכוונה היא להבין אם הצורה מסתובבת עם כיוון השעון או נגדו, ובכמה מעלות.</x:v>
      </x:c>
      <x:c r="H15" s="24" t="str">
        <x:v>90° ימינה</x:v>
      </x:c>
      <x:c r="I15" s="24" t="str">
        <x:v>מיושם ומאושר</x:v>
      </x:c>
      <x:c r="J15" s="24" t="str">
        <x:v>owner_geometry_batch_approved</x:v>
      </x:c>
      <x:c r="K15" s="24" t="str"/>
    </x:row>
    <x:row r="16" ht="26.399999618530273" hidden="0" customHeight="1">
      <x:c r="A16" s="24" t="str">
        <x:v>גיאומטריה</x:v>
      </x:c>
      <x:c r="B16" s="24" t="str">
        <x:v>G-05</x:v>
      </x:c>
      <x:c r="C16" s="24" t="str">
        <x:v>finding:taxonomy:G-05</x:v>
      </x:c>
      <x:c r="D16" s="24" t="str">
        <x:v>נפח — מודל תלת־ממדי</x:v>
      </x:c>
      <x:c r="E16" s="24" t="str">
        <x:v>שוכח עומק</x:v>
      </x:c>
      <x:c r="F16" s="24" t="str">
        <x:v>בדוח הורים: תווית הקושי שהמנוע מצא + הסבר מאושר מתחתיה</x:v>
      </x:c>
      <x:c r="G16" s="24" t="str">
        <x:v>המערכת זיהתה קושי בהבנת גוף תלת־ממדי. הכוונה היא לראות שלא מדובר רק בציור שטוח, אלא בצורה שיש לה אורך, רוחב וגובה.</x:v>
      </x:c>
      <x:c r="H16" s="24" t="str">
        <x:v>קובייה</x:v>
      </x:c>
      <x:c r="I16" s="24" t="str">
        <x:v>מיושם ומאושר</x:v>
      </x:c>
      <x:c r="J16" s="24" t="str">
        <x:v>owner_geometry_batch_approved</x:v>
      </x:c>
      <x:c r="K16" s="24" t="str"/>
    </x:row>
    <x:row r="17" ht="39.599998474121094" hidden="0" customHeight="1">
      <x:c r="A17" s="24" t="str">
        <x:v>גיאומטריה</x:v>
      </x:c>
      <x:c r="B17" s="24" t="str">
        <x:v>G-06</x:v>
      </x:c>
      <x:c r="C17" s="24" t="str">
        <x:v>finding:taxonomy:G-06</x:v>
      </x:c>
      <x:c r="D17" s="24" t="str">
        <x:v>היקף — המרת יחידות</x:v>
      </x:c>
      <x:c r="E17" s="24" t="str">
        <x:v>טעות יחידה חוזרת</x:v>
      </x:c>
      <x:c r="F17" s="24" t="str">
        <x:v>בדוח הורים: תווית הקושי שהמנוע מצא + הסבר מאושר מתחתיה</x:v>
      </x:c>
      <x:c r="G17" s="24" t="str">
        <x:v>המערכת זיהתה קושי בהמרת יחידות לפני חישוב היקף או אורך. הכוונה היא לוודא שכל המידות באותה יחידה לפני שמחברים או משווים.</x:v>
      </x:c>
      <x:c r="H17" s="24" t="str">
        <x:v>120 ס״מ = 1.2 מ׳</x:v>
      </x:c>
      <x:c r="I17" s="24" t="str">
        <x:v>מיושם ומאושר</x:v>
      </x:c>
      <x:c r="J17" s="24" t="str">
        <x:v>owner_geometry_batch_approved</x:v>
      </x:c>
      <x:c r="K17" s="24" t="str"/>
    </x:row>
    <x:row r="18" ht="39.599998474121094" hidden="0" customHeight="1">
      <x:c r="A18" s="24" t="str">
        <x:v>גיאומטריה</x:v>
      </x:c>
      <x:c r="B18" s="24" t="str">
        <x:v>G-07</x:v>
      </x:c>
      <x:c r="C18" s="24" t="str">
        <x:v>finding:taxonomy:G-07</x:v>
      </x:c>
      <x:c r="D18" s="24" t="str">
        <x:v>סימטריה — ציר</x:v>
      </x:c>
      <x:c r="E18" s="24" t="str">
        <x:v>ציר שגוי חוזר</x:v>
      </x:c>
      <x:c r="F18" s="24" t="str">
        <x:v>בדוח הורים: תווית הקושי שהמנוע מצא + הסבר מאושר מתחתיה</x:v>
      </x:c>
      <x:c r="G18" s="24" t="str">
        <x:v>המערכת זיהתה קושי בזיהוי ציר סימטריה. הכוונה היא למצוא קו שמחלק את הצורה לשני חלקים זהים, כך שאפשר לקפל לאורך הקו ושני הצדדים יתאימו.</x:v>
      </x:c>
      <x:c r="H18" s="24" t="str">
        <x:v>קו קיפול באמצע צורה</x:v>
      </x:c>
      <x:c r="I18" s="24" t="str">
        <x:v>מיושם ומאושר</x:v>
      </x:c>
      <x:c r="J18" s="24" t="str">
        <x:v>owner_geometry_batch_approved</x:v>
      </x:c>
      <x:c r="K18" s="24" t="str"/>
    </x:row>
    <x:row r="19" ht="26.399999618530273" hidden="0" customHeight="1">
      <x:c r="A19" s="24" t="str">
        <x:v>גיאומטריה</x:v>
      </x:c>
      <x:c r="B19" s="24" t="str">
        <x:v>G-08</x:v>
      </x:c>
      <x:c r="C19" s="24" t="str">
        <x:v>finding:taxonomy:G-08</x:v>
      </x:c>
      <x:c r="D19" s="24" t="str">
        <x:v>משולשים — בסיס×גובה÷2</x:v>
      </x:c>
      <x:c r="E19" s="24" t="str">
        <x:v>שוכח ÷2 או גובה שגוי</x:v>
      </x:c>
      <x:c r="F19" s="24" t="str">
        <x:v>בדוח הורים: תווית הקושי שהמנוע מצא + הסבר מאושר מתחתיה</x:v>
      </x:c>
      <x:c r="G19" s="24" t="str">
        <x:v>המערכת זיהתה קושי בחישוב שטח משולש. כדי למצוא שטח משולש משתמשים בבסיס ובגובה המתאים, ואז מחלקים את התוצאה ב־2.</x:v>
      </x:c>
      <x:c r="H19" s="24" t="str">
        <x:v>בסיס 6, גובה 4: 6 × 4 ÷ 2</x:v>
      </x:c>
      <x:c r="I19" s="24" t="str">
        <x:v>מיושם ומאושר</x:v>
      </x:c>
      <x:c r="J19" s="24" t="str">
        <x:v>owner_geometry_batch_approved</x:v>
      </x:c>
      <x:c r="K19" s="24" t="str"/>
    </x:row>
    <x:row r="20" ht="39.599998474121094" hidden="0" customHeight="1">
      <x:c r="A20" s="24" t="str">
        <x:v>עברית</x:v>
      </x:c>
      <x:c r="B20" s="24" t="str">
        <x:v>H-01</x:v>
      </x:c>
      <x:c r="C20" s="24" t="str">
        <x:v>finding:taxonomy:H-01</x:v>
      </x:c>
      <x:c r="D20" s="24" t="str">
        <x:v>עברית — נרדפת</x:v>
      </x:c>
      <x:c r="E20" s="24" t="str">
        <x:v>מילה קרובה לא נכונה</x:v>
      </x:c>
      <x:c r="F20" s="24" t="str">
        <x:v>בדוח הורים: תווית הקושי שהמנוע מצא + הסבר מאושר מתחתיה</x:v>
      </x:c>
      <x:c r="G20" s="24" t="str">
        <x:v>המערכת זיהתה קושי בבחירת מילה נרדפת שמתאימה להקשר. הכוונה היא לא רק למצוא מילה דומה, אלא לוודא שהיא מתאימה למשמעות המשפט.</x:v>
      </x:c>
      <x:c r="H20" s="24" t="str">
        <x:v>שמח / עליז</x:v>
      </x:c>
      <x:c r="I20" s="24" t="str">
        <x:v>מיושם ומאושר</x:v>
      </x:c>
      <x:c r="J20" s="24" t="str">
        <x:v>owner_hebrew_subject_batch_approved</x:v>
      </x:c>
      <x:c r="K20" s="24" t="str"/>
    </x:row>
    <x:row r="21" ht="39.599998474121094" hidden="0" customHeight="1">
      <x:c r="A21" s="24" t="str">
        <x:v>עברית</x:v>
      </x:c>
      <x:c r="B21" s="24" t="str">
        <x:v>H-02</x:v>
      </x:c>
      <x:c r="C21" s="24" t="str">
        <x:v>finding:taxonomy:H-02</x:v>
      </x:c>
      <x:c r="D21" s="24" t="str">
        <x:v>דקדוק — מגדר/מספר</x:v>
      </x:c>
      <x:c r="E21" s="24" t="str">
        <x:v>כינוי/שם עצם שגוי</x:v>
      </x:c>
      <x:c r="F21" s="24" t="str">
        <x:v>בדוח הורים: תווית הקושי שהמנוע מצא + הסבר מאושר מתחתיה</x:v>
      </x:c>
      <x:c r="G21" s="24" t="str">
        <x:v>המערכת זיהתה קושי בהתאמה בין מילים במשפט לפי מין ומספר. הכוונה היא לוודא שהשם, התואר או הכינוי מתאימים לזכר או נקבה, וליחיד או רבים.</x:v>
      </x:c>
      <x:c r="H21" s="24" t="str">
        <x:v>ילדה קטנה / ילדים קטנים</x:v>
      </x:c>
      <x:c r="I21" s="24" t="str">
        <x:v>מיושם ומאושר</x:v>
      </x:c>
      <x:c r="J21" s="24" t="str">
        <x:v>owner_hebrew_subject_batch_approved</x:v>
      </x:c>
      <x:c r="K21" s="24" t="str"/>
    </x:row>
    <x:row r="22" ht="39.599998474121094" hidden="0" customHeight="1">
      <x:c r="A22" s="24" t="str">
        <x:v>עברית</x:v>
      </x:c>
      <x:c r="B22" s="24" t="str">
        <x:v>H-03</x:v>
      </x:c>
      <x:c r="C22" s="24" t="str">
        <x:v>finding:taxonomy:H-03</x:v>
      </x:c>
      <x:c r="D22" s="24" t="str">
        <x:v>כתיב — משפחת כתיב</x:v>
      </x:c>
      <x:c r="E22" s="24" t="str">
        <x:v>אותה משפחה שגויה</x:v>
      </x:c>
      <x:c r="F22" s="24" t="str">
        <x:v>בדוח הורים: תווית הקושי שהמנוע מצא + הסבר מאושר מתחתיה</x:v>
      </x:c>
      <x:c r="G22" s="24" t="str">
        <x:v>המערכת זיהתה קושי בזיהוי משפחת מילים או תבנית כתיב שחוזרת במילים קשורות. הכוונה היא לשים לב לאותיות ולמבנה שחוזרים באותה משפחת מילים.</x:v>
      </x:c>
      <x:c r="H22" s="24" t="str">
        <x:v>כתב / מכתב / כתיבה</x:v>
      </x:c>
      <x:c r="I22" s="24" t="str">
        <x:v>מיושם ומאושר</x:v>
      </x:c>
      <x:c r="J22" s="24" t="str">
        <x:v>owner_hebrew_subject_batch_approved</x:v>
      </x:c>
      <x:c r="K22" s="24" t="str"/>
    </x:row>
    <x:row r="23" ht="39.599998474121094" hidden="0" customHeight="1">
      <x:c r="A23" s="24" t="str">
        <x:v>עברית</x:v>
      </x:c>
      <x:c r="B23" s="24" t="str">
        <x:v>H-04</x:v>
      </x:c>
      <x:c r="C23" s="24" t="str">
        <x:v>finding:taxonomy:H-04</x:v>
      </x:c>
      <x:c r="D23" s="24" t="str">
        <x:v>הבנת הנקרא — חיפוש</x:v>
      </x:c>
      <x:c r="E23" s="24" t="str">
        <x:v>קריאת השאלה לא הייתה מסודרת</x:v>
      </x:c>
      <x:c r="F23" s="24" t="str">
        <x:v>בדוח הורים: תווית הקושי שהמנוע מצא + הסבר מאושר מתחתיה</x:v>
      </x:c>
      <x:c r="G23" s="24" t="str">
        <x:v>המערכת זיהתה קושי באיתור מידע בתוך טקסט. הכוונה היא למצוא פרט מסוים לפי מילות מפתח, כותרות או רמזים שמופיעים בשאלה ובטקסט.</x:v>
      </x:c>
      <x:c r="H23" s="24" t="str">
        <x:v>מתי קרה? / מי עשה?</x:v>
      </x:c>
      <x:c r="I23" s="24" t="str">
        <x:v>מיושם ומאושר</x:v>
      </x:c>
      <x:c r="J23" s="24" t="str">
        <x:v>owner_hebrew_subject_batch_approved</x:v>
      </x:c>
      <x:c r="K23" s="24" t="str"/>
    </x:row>
    <x:row r="24" ht="39.599998474121094" hidden="0" customHeight="1">
      <x:c r="A24" s="24" t="str">
        <x:v>עברית</x:v>
      </x:c>
      <x:c r="B24" s="24" t="str">
        <x:v>H-05</x:v>
      </x:c>
      <x:c r="C24" s="24" t="str">
        <x:v>finding:taxonomy:H-05</x:v>
      </x:c>
      <x:c r="D24" s="24" t="str">
        <x:v>עברית — הומופון</x:v>
      </x:c>
      <x:c r="E24" s="24" t="str">
        <x:v>טעות בהומופון</x:v>
      </x:c>
      <x:c r="F24" s="24" t="str">
        <x:v>בדוח הורים: תווית הקושי שהמנוע מצא + הסבר מאושר מתחתיה</x:v>
      </x:c>
      <x:c r="G24" s="24" t="str">
        <x:v>המערכת זיהתה קושי בהבחנה בין מילים שנשמעות דומה או זהה, אבל נכתבות אחרת או בעלות משמעות אחרת. הכוונה היא לבחור את המילה הנכונה לפי ההקשר במשפט.</x:v>
      </x:c>
      <x:c r="H24" s="24" t="str">
        <x:v>אם / עם</x:v>
      </x:c>
      <x:c r="I24" s="24" t="str">
        <x:v>מיושם ומאושר</x:v>
      </x:c>
      <x:c r="J24" s="24" t="str">
        <x:v>owner_hebrew_subject_batch_approved</x:v>
      </x:c>
      <x:c r="K24" s="24" t="str"/>
    </x:row>
    <x:row r="25" ht="26.399999618530273" hidden="0" customHeight="1">
      <x:c r="A25" s="24" t="str">
        <x:v>עברית</x:v>
      </x:c>
      <x:c r="B25" s="24" t="str">
        <x:v>H-06</x:v>
      </x:c>
      <x:c r="C25" s="24" t="str">
        <x:v>finding:taxonomy:H-06</x:v>
      </x:c>
      <x:c r="D25" s="24" t="str">
        <x:v>עברית — סדר שאלה</x:v>
      </x:c>
      <x:c r="E25" s="24" t="str">
        <x:v>סדר מילים שגוי</x:v>
      </x:c>
      <x:c r="F25" s="24" t="str">
        <x:v>בדוח הורים: תווית הקושי שהמנוע מצא + הסבר מאושר מתחתיה</x:v>
      </x:c>
      <x:c r="G25" s="24" t="str">
        <x:v>המערכת זיהתה קושי בסידור מילים במשפט שאלה. הכוונה היא לבנות שאלה ברורה, עם מילת השאלה, הנושא והפועל במקום מתאים.</x:v>
      </x:c>
      <x:c r="H25" s="24" t="str">
        <x:v>מתי הילד הגיע?</x:v>
      </x:c>
      <x:c r="I25" s="24" t="str">
        <x:v>מיושם ומאושר</x:v>
      </x:c>
      <x:c r="J25" s="24" t="str">
        <x:v>owner_hebrew_subject_batch_approved</x:v>
      </x:c>
      <x:c r="K25" s="24" t="str"/>
    </x:row>
    <x:row r="26" ht="39.599998474121094" hidden="0" customHeight="1">
      <x:c r="A26" s="24" t="str">
        <x:v>עברית</x:v>
      </x:c>
      <x:c r="B26" s="24" t="str">
        <x:v>H-07</x:v>
      </x:c>
      <x:c r="C26" s="24" t="str">
        <x:v>finding:taxonomy:H-07</x:v>
      </x:c>
      <x:c r="D26" s="24" t="str">
        <x:v>כתיבה — חיבור משפטים</x:v>
      </x:c>
      <x:c r="E26" s="24" t="str">
        <x:v>משפטים לא מחוברים</x:v>
      </x:c>
      <x:c r="F26" s="24" t="str">
        <x:v>בדוח הורים: תווית הקושי שהמנוע מצא + הסבר מאושר מתחתיה</x:v>
      </x:c>
      <x:c r="G26" s="24" t="str">
        <x:v>המערכת זיהתה קושי בחיבור משפטים לרצף ברור. הכוונה היא להשתמש במילות קישור כדי להסביר קשר של הוספה, ניגוד, סיבה או תוצאה.</x:v>
      </x:c>
      <x:c r="H26" s="24" t="str">
        <x:v>אבל / לכן / בנוסף</x:v>
      </x:c>
      <x:c r="I26" s="24" t="str">
        <x:v>מיושם ומאושר</x:v>
      </x:c>
      <x:c r="J26" s="24" t="str">
        <x:v>owner_hebrew_subject_batch_approved</x:v>
      </x:c>
      <x:c r="K26" s="24" t="str"/>
    </x:row>
    <x:row r="27" ht="39.599998474121094" hidden="0" customHeight="1">
      <x:c r="A27" s="24" t="str">
        <x:v>עברית</x:v>
      </x:c>
      <x:c r="B27" s="24" t="str">
        <x:v>H-08</x:v>
      </x:c>
      <x:c r="C27" s="24" t="str">
        <x:v>finding:taxonomy:H-08</x:v>
      </x:c>
      <x:c r="D27" s="24" t="str">
        <x:v>עברית — פורמליות</x:v>
      </x:c>
      <x:c r="E27" s="24" t="str">
        <x:v>רמת לשון לא מתאימה</x:v>
      </x:c>
      <x:c r="F27" s="24" t="str">
        <x:v>בדוח הורים: תווית הקושי שהמנוע מצא + הסבר מאושר מתחתיה</x:v>
      </x:c>
      <x:c r="G27" s="24" t="str">
        <x:v>המערכת זיהתה קושי בהתאמת רמת הלשון למצב. הכוונה היא לבחור ניסוח שמתאים למטרה: שיחה יומיומית, תשובה לימודית או פנייה רשמית.</x:v>
      </x:c>
      <x:c r="H27" s="24" t="str">
        <x:v>אפשר לקבל עזרה? / תביא לי</x:v>
      </x:c>
      <x:c r="I27" s="24" t="str">
        <x:v>מיושם ומאושר</x:v>
      </x:c>
      <x:c r="J27" s="24" t="str">
        <x:v>owner_hebrew_subject_batch_approved</x:v>
      </x:c>
      <x:c r="K27" s="24" t="str"/>
    </x:row>
    <x:row r="28" ht="39.599998474121094" hidden="0" customHeight="1">
      <x:c r="A28" s="24" t="str">
        <x:v>אנגלית</x:v>
      </x:c>
      <x:c r="B28" s="24" t="str">
        <x:v>E-01</x:v>
      </x:c>
      <x:c r="C28" s="24" t="str">
        <x:v>finding:taxonomy:E-01</x:v>
      </x:c>
      <x:c r="D28" s="24" t="str">
        <x:v>אנגלית — collocation</x:v>
      </x:c>
      <x:c r="E28" s="24" t="str">
        <x:v>תרגום מילולי שגוי</x:v>
      </x:c>
      <x:c r="F28" s="24" t="str">
        <x:v>בדוח הורים: התווית המקצועית/דפוס הקושי + הסבר מאושר מתחתיה</x:v>
      </x:c>
      <x:c r="G28" s="24" t="str">
        <x:v>המערכת זיהתה קושי בשימוש בצירופי מילים טבעיים באנגלית. הכוונה היא שיש מילים שבאנגלית רגילים לומר יחד, ולא תמיד אפשר לתרגם מילה במילה מעברית.</x:v>
      </x:c>
      <x:c r="H28" s="24" t="str">
        <x:v>make a decision</x:v>
      </x:c>
      <x:c r="I28" s="24" t="str">
        <x:v>מיושם ומאושר</x:v>
      </x:c>
      <x:c r="J28" s="24" t="str">
        <x:v>owner_english_subject_batch_approved</x:v>
      </x:c>
      <x:c r="K28" s="24" t="str">
        <x:v>תוויות מקצועיות באנגלית אינן מוחלפות; רק מוסיפים הסבר בעברית.</x:v>
      </x:c>
    </x:row>
    <x:row r="29" ht="39.599998474121094" hidden="0" customHeight="1">
      <x:c r="A29" s="24" t="str">
        <x:v>אנגלית</x:v>
      </x:c>
      <x:c r="B29" s="24" t="str">
        <x:v>E-02</x:v>
      </x:c>
      <x:c r="C29" s="24" t="str">
        <x:v>finding:taxonomy:E-02</x:v>
      </x:c>
      <x:c r="D29" s="24" t="str">
        <x:v>אנגלית — סממן זמן</x:v>
      </x:c>
      <x:c r="E29" s="24" t="str">
        <x:v>past/present או בחירת זמן לא מתאימה</x:v>
      </x:c>
      <x:c r="F29" s="24" t="str">
        <x:v>בדוח הורים: התווית המקצועית/דפוס הקושי + הסבר מאושר מתחתיה</x:v>
      </x:c>
      <x:c r="G29" s="24" t="str">
        <x:v>המערכת זיהתה קושי בזיהוי רמזים שמראים באיזה זמן המשפט כתוב. הכוונה היא לשים לב למילים שמראות אם מדובר בעבר, בהווה או בעתיד, ואז לבחור את צורת הפועל המתאימה.</x:v>
      </x:c>
      <x:c r="H29" s="24" t="str">
        <x:v>yesterday / now / tomorrow</x:v>
      </x:c>
      <x:c r="I29" s="24" t="str">
        <x:v>מיושם ומאושר</x:v>
      </x:c>
      <x:c r="J29" s="24" t="str">
        <x:v>owner_english_subject_batch_approved</x:v>
      </x:c>
      <x:c r="K29" s="24" t="str">
        <x:v>תוויות מקצועיות באנגלית אינן מוחלפות; רק מוסיפים הסבר בעברית.</x:v>
      </x:c>
    </x:row>
    <x:row r="30" ht="39.599998474121094" hidden="0" customHeight="1">
      <x:c r="A30" s="24" t="str">
        <x:v>אנגלית</x:v>
      </x:c>
      <x:c r="B30" s="24" t="str">
        <x:v>E-03</x:v>
      </x:c>
      <x:c r="C30" s="24" t="str">
        <x:v>finding:taxonomy:E-03</x:v>
      </x:c>
      <x:c r="D30" s="24" t="str">
        <x:v>אנגלית — מעקב שורות</x:v>
      </x:c>
      <x:c r="E30" s="24" t="str">
        <x:v>טעות במעקב אחרי השורה הנכונה</x:v>
      </x:c>
      <x:c r="F30" s="24" t="str">
        <x:v>בדוח הורים: התווית המקצועית/דפוס הקושי + הסבר מאושר מתחתיה</x:v>
      </x:c>
      <x:c r="G30" s="24" t="str">
        <x:v>המערכת זיהתה קושי במעקב אחרי המקום הנכון בטקסט באנגלית. הכוונה היא לקרוא לפי הסדר, לא לדלג שורה, ולחזור לשורה המתאימה כשמחפשים תשובה.</x:v>
      </x:c>
      <x:c r="H30" s="24" t="str">
        <x:v>line 3</x:v>
      </x:c>
      <x:c r="I30" s="24" t="str">
        <x:v>מיושם ומאושר</x:v>
      </x:c>
      <x:c r="J30" s="24" t="str">
        <x:v>owner_english_subject_batch_approved</x:v>
      </x:c>
      <x:c r="K30" s="24" t="str">
        <x:v>תוויות מקצועיות באנגלית אינן מוחלפות; רק מוסיפים הסבר בעברית.</x:v>
      </x:c>
    </x:row>
    <x:row r="31" ht="39.599998474121094" hidden="0" customHeight="1">
      <x:c r="A31" s="24" t="str">
        <x:v>אנגלית</x:v>
      </x:c>
      <x:c r="B31" s="24" t="str">
        <x:v>E-04</x:v>
      </x:c>
      <x:c r="C31" s="24" t="str">
        <x:v>finding:taxonomy:E-04</x:v>
      </x:c>
      <x:c r="D31" s="24" t="str">
        <x:v>אנגלית — כינוי לנושא</x:v>
      </x:c>
      <x:c r="E31" s="24" t="str">
        <x:v>he/she/it</x:v>
      </x:c>
      <x:c r="F31" s="24" t="str">
        <x:v>בדוח הורים: התווית המקצועית/דפוס הקושי + הסבר מאושר מתחתיה</x:v>
      </x:c>
      <x:c r="G31" s="24" t="str">
        <x:v>המערכת זיהתה קושי בבחירת כינוי הגוף המתאים לנושא המשפט באנגלית. הכוונה היא לבחור נכון בין כינויים כמו הוא, היא או זה לפי מי או מה שמדברים עליו.</x:v>
      </x:c>
      <x:c r="H31" s="24" t="str">
        <x:v>he / she / it</x:v>
      </x:c>
      <x:c r="I31" s="24" t="str">
        <x:v>מיושם ומאושר</x:v>
      </x:c>
      <x:c r="J31" s="24" t="str">
        <x:v>owner_english_subject_batch_approved</x:v>
      </x:c>
      <x:c r="K31" s="24" t="str">
        <x:v>תוויות מקצועיות באנגלית אינן מוחלפות; רק מוסיפים הסבר בעברית.</x:v>
      </x:c>
    </x:row>
    <x:row r="32" ht="39.599998474121094" hidden="0" customHeight="1">
      <x:c r="A32" s="24" t="str">
        <x:v>אנגלית</x:v>
      </x:c>
      <x:c r="B32" s="24" t="str">
        <x:v>E-05</x:v>
      </x:c>
      <x:c r="C32" s="24" t="str">
        <x:v>finding:taxonomy:E-05</x:v>
      </x:c>
      <x:c r="D32" s="24" t="str">
        <x:v>אנגלית — preposition</x:v>
      </x:c>
      <x:c r="E32" s="24" t="str">
        <x:v>מילת יחס שגויה</x:v>
      </x:c>
      <x:c r="F32" s="24" t="str">
        <x:v>בדוח הורים: התווית המקצועית/דפוס הקושי + הסבר מאושר מתחתיה</x:v>
      </x:c>
      <x:c r="G32" s="24" t="str">
        <x:v>המערכת זיהתה קושי בשימוש במילות יחס באנגלית. אלו מילים קצרות שמראות קשר של מקום, זמן או כיוון, ולעיתים הן לא מתורגמות ישירות מעברית.</x:v>
      </x:c>
      <x:c r="H32" s="24" t="str">
        <x:v>in / on / at</x:v>
      </x:c>
      <x:c r="I32" s="24" t="str">
        <x:v>מיושם ומאושר</x:v>
      </x:c>
      <x:c r="J32" s="24" t="str">
        <x:v>owner_english_subject_batch_approved</x:v>
      </x:c>
      <x:c r="K32" s="24" t="str">
        <x:v>תוויות מקצועיות באנגלית אינן מוחלפות; רק מוסיפים הסבר בעברית.</x:v>
      </x:c>
    </x:row>
    <x:row r="33" ht="39.599998474121094" hidden="0" customHeight="1">
      <x:c r="A33" s="24" t="str">
        <x:v>אנגלית</x:v>
      </x:c>
      <x:c r="B33" s="24" t="str">
        <x:v>E-06</x:v>
      </x:c>
      <x:c r="C33" s="24" t="str">
        <x:v>finding:taxonomy:E-06</x:v>
      </x:c>
      <x:c r="D33" s="24" t="str">
        <x:v>אנגלית — inference</x:v>
      </x:c>
      <x:c r="E33" s="24" t="str">
        <x:v>קושי בהבנת משמעות משתמעת</x:v>
      </x:c>
      <x:c r="F33" s="24" t="str">
        <x:v>בדוח הורים: התווית המקצועית/דפוס הקושי + הסבר מאושר מתחתיה</x:v>
      </x:c>
      <x:c r="G33" s="24" t="str">
        <x:v>המערכת זיהתה קושי בהבנת מסקנה מתוך טקסט באנגלית. הכוונה היא להבין דבר שלא כתוב במפורש, אלא משתמע מתוך המשפטים והרמזים בטקסט.</x:v>
      </x:c>
      <x:c r="H33" s="24" t="str">
        <x:v>The room is dark, so she turns on the light.</x:v>
      </x:c>
      <x:c r="I33" s="24" t="str">
        <x:v>מיושם ומאושר</x:v>
      </x:c>
      <x:c r="J33" s="24" t="str">
        <x:v>owner_english_subject_batch_approved</x:v>
      </x:c>
      <x:c r="K33" s="24" t="str">
        <x:v>תוויות מקצועיות באנגלית אינן מוחלפות; רק מוסיפים הסבר בעברית.</x:v>
      </x:c>
    </x:row>
    <x:row r="34" ht="39.599998474121094" hidden="0" customHeight="1">
      <x:c r="A34" s="24" t="str">
        <x:v>אנגלית</x:v>
      </x:c>
      <x:c r="B34" s="24" t="str">
        <x:v>E-07</x:v>
      </x:c>
      <x:c r="C34" s="24" t="str">
        <x:v>finding:taxonomy:E-07</x:v>
      </x:c>
      <x:c r="D34" s="24" t="str">
        <x:v>אנגלית — תבניות שקטות</x:v>
      </x:c>
      <x:c r="E34" s="24" t="str">
        <x:v>שגיאות חוזרות באיות/צליל</x:v>
      </x:c>
      <x:c r="F34" s="24" t="str">
        <x:v>בדוח הורים: התווית המקצועית/דפוס הקושי + הסבר מאושר מתחתיה</x:v>
      </x:c>
      <x:c r="G34" s="24" t="str">
        <x:v>המערכת זיהתה קושי בזיהוי אותיות או תבניות כתיב באנגלית שלא תמיד שומעים בהגייה. הכוונה היא לשים לב לכך שלא כל אות במילה נשמעת כמו שהיא נכתבת.</x:v>
      </x:c>
      <x:c r="H34" s="24" t="str">
        <x:v>knight / night</x:v>
      </x:c>
      <x:c r="I34" s="24" t="str">
        <x:v>מיושם ומאושר</x:v>
      </x:c>
      <x:c r="J34" s="24" t="str">
        <x:v>owner_english_subject_batch_approved</x:v>
      </x:c>
      <x:c r="K34" s="24" t="str">
        <x:v>תוויות מקצועיות באנגלית אינן מוחלפות; רק מוסיפים הסבר בעברית.</x:v>
      </x:c>
    </x:row>
    <x:row r="35" ht="39.599998474121094" hidden="0" customHeight="1">
      <x:c r="A35" s="24" t="str">
        <x:v>אנגלית</x:v>
      </x:c>
      <x:c r="B35" s="24" t="str">
        <x:v>E-08</x:v>
      </x:c>
      <x:c r="C35" s="24" t="str">
        <x:v>finding:taxonomy:E-08</x:v>
      </x:c>
      <x:c r="D35" s="24" t="str">
        <x:v>אנגלית — minimal pairs</x:v>
      </x:c>
      <x:c r="E35" s="24" t="str">
        <x:v>בלבול צמד צלילים</x:v>
      </x:c>
      <x:c r="F35" s="24" t="str">
        <x:v>בדוח הורים: התווית המקצועית/דפוס הקושי + הסבר מאושר מתחתיה</x:v>
      </x:c>
      <x:c r="G35" s="24" t="str">
        <x:v>המערכת זיהתה קושי בהבחנה בין מילים באנגלית שנשמעות כמעט אותו דבר, אבל שונות בצליל קטן ובמשמעות. הכוונה היא להקשיב להבדל המדויק בין הצלילים.</x:v>
      </x:c>
      <x:c r="H35" s="24" t="str">
        <x:v>ship / sheep</x:v>
      </x:c>
      <x:c r="I35" s="24" t="str">
        <x:v>מיושם ומאושר</x:v>
      </x:c>
      <x:c r="J35" s="24" t="str">
        <x:v>owner_english_subject_batch_approved</x:v>
      </x:c>
      <x:c r="K35" s="24" t="str">
        <x:v>תוויות מקצועיות באנגלית אינן מוחלפות; רק מוסיפים הסבר בעברית.</x:v>
      </x:c>
    </x:row>
    <x:row r="36" ht="39.599998474121094" hidden="0" customHeight="1">
      <x:c r="A36" s="24" t="str">
        <x:v>מדעים</x:v>
      </x:c>
      <x:c r="B36" s="24" t="str">
        <x:v>S-01</x:v>
      </x:c>
      <x:c r="C36" s="24" t="str">
        <x:v>finding:taxonomy:S-01</x:v>
      </x:c>
      <x:c r="D36" s="24" t="str">
        <x:v>מדעים — תכונה מול תהליך</x:v>
      </x:c>
      <x:c r="E36" s="24" t="str">
        <x:v>בלבול קטגוריה</x:v>
      </x:c>
      <x:c r="F36" s="24" t="str">
        <x:v>בדוח הורים: תווית הקושי שהמנוע מצא + הסבר מאושר מתחתיה</x:v>
      </x:c>
      <x:c r="G36" s="24" t="str">
        <x:v>המערכת זיהתה קושי בהבחנה בין תכונה של דבר לבין תהליך שקורה לו. תכונה מתארת מה מאפיין חומר, גוף או יצור, ותהליך מתאר שינוי או פעולה שמתרחשים לאורך זמן.</x:v>
      </x:c>
      <x:c r="H36" s="24" t="str">
        <x:v>צבע הוא תכונה; התכה היא תהליך</x:v>
      </x:c>
      <x:c r="I36" s="24" t="str">
        <x:v>מיושם ומאושר</x:v>
      </x:c>
      <x:c r="J36" s="24" t="str">
        <x:v>owner_science_subject_batch_approved</x:v>
      </x:c>
      <x:c r="K36" s="24" t="str"/>
    </x:row>
    <x:row r="37" ht="39.599998474121094" hidden="0" customHeight="1">
      <x:c r="A37" s="24" t="str">
        <x:v>מדעים</x:v>
      </x:c>
      <x:c r="B37" s="24" t="str">
        <x:v>S-02</x:v>
      </x:c>
      <x:c r="C37" s="24" t="str">
        <x:v>finding:taxonomy:S-02</x:v>
      </x:c>
      <x:c r="D37" s="24" t="str">
        <x:v>מדעים — משתנה מבודד</x:v>
      </x:c>
      <x:c r="E37" s="24" t="str">
        <x:v>שינוי כמה גורמים בניסוי</x:v>
      </x:c>
      <x:c r="F37" s="24" t="str">
        <x:v>בדוח הורים: תווית הקושי שהמנוע מצא + הסבר מאושר מתחתיה</x:v>
      </x:c>
      <x:c r="G37" s="24" t="str">
        <x:v>המערכת זיהתה קושי בהבנת ניסוי שבו משנים רק גורם אחד בכל פעם. הכוונה היא להשאיר את שאר התנאים קבועים, כדי לדעת מה באמת השפיע על התוצאה.</x:v>
      </x:c>
      <x:c r="H37" s="24" t="str">
        <x:v>משנים רק את כמות האור</x:v>
      </x:c>
      <x:c r="I37" s="24" t="str">
        <x:v>מיושם ומאושר</x:v>
      </x:c>
      <x:c r="J37" s="24" t="str">
        <x:v>owner_science_subject_batch_approved</x:v>
      </x:c>
      <x:c r="K37" s="24" t="str"/>
    </x:row>
    <x:row r="38" ht="39.599998474121094" hidden="0" customHeight="1">
      <x:c r="A38" s="24" t="str">
        <x:v>מדעים</x:v>
      </x:c>
      <x:c r="B38" s="24" t="str">
        <x:v>S-03</x:v>
      </x:c>
      <x:c r="C38" s="24" t="str">
        <x:v>finding:taxonomy:S-03</x:v>
      </x:c>
      <x:c r="D38" s="24" t="str">
        <x:v>מדעים — מיקום/זרימה</x:v>
      </x:c>
      <x:c r="E38" s="24" t="str">
        <x:v>סדר/מיקום שגוי</x:v>
      </x:c>
      <x:c r="F38" s="24" t="str">
        <x:v>בדוח הורים: תווית הקושי שהמנוע מצא + הסבר מאושר מתחתיה</x:v>
      </x:c>
      <x:c r="G38" s="24" t="str">
        <x:v>המערכת זיהתה קושי בהבנת מיקום או סדר זרימה בתוך מערכת. הכוונה היא לדעת איפה נמצא כל חלק ומה הסדר שבו חומר, מידע או פעולה עוברים ממקום למקום.</x:v>
      </x:c>
      <x:c r="H38" s="24" t="str">
        <x:v>לב → כלי דם</x:v>
      </x:c>
      <x:c r="I38" s="24" t="str">
        <x:v>מיושם ומאושר</x:v>
      </x:c>
      <x:c r="J38" s="24" t="str">
        <x:v>owner_science_subject_batch_approved</x:v>
      </x:c>
      <x:c r="K38" s="24" t="str"/>
    </x:row>
    <x:row r="39" ht="39.599998474121094" hidden="0" customHeight="1">
      <x:c r="A39" s="24" t="str">
        <x:v>מדעים</x:v>
      </x:c>
      <x:c r="B39" s="24" t="str">
        <x:v>S-04</x:v>
      </x:c>
      <x:c r="C39" s="24" t="str">
        <x:v>finding:taxonomy:S-04</x:v>
      </x:c>
      <x:c r="D39" s="24" t="str">
        <x:v>מדעים — שימור מסה</x:v>
      </x:c>
      <x:c r="E39" s="24" t="str">
        <x:v>חומר נעלם בלי שימור</x:v>
      </x:c>
      <x:c r="F39" s="24" t="str">
        <x:v>בדוח הורים: תווית הקושי שהמנוע מצא + הסבר מאושר מתחתיה</x:v>
      </x:c>
      <x:c r="G39" s="24" t="str">
        <x:v>המערכת זיהתה קושי בהבנה שחומר לא נעלם כאשר הוא משתנה. במקרים רבים החומר משנה צורה, מצב או מקום, אבל הכמות הכוללת שלו נשמרת.</x:v>
      </x:c>
      <x:c r="H39" s="24" t="str">
        <x:v>קרח → מים</x:v>
      </x:c>
      <x:c r="I39" s="24" t="str">
        <x:v>מיושם ומאושר</x:v>
      </x:c>
      <x:c r="J39" s="24" t="str">
        <x:v>owner_science_subject_batch_approved</x:v>
      </x:c>
      <x:c r="K39" s="24" t="str"/>
    </x:row>
    <x:row r="40" ht="39.599998474121094" hidden="0" customHeight="1">
      <x:c r="A40" s="24" t="str">
        <x:v>מדעים</x:v>
      </x:c>
      <x:c r="B40" s="24" t="str">
        <x:v>S-05</x:v>
      </x:c>
      <x:c r="C40" s="24" t="str">
        <x:v>finding:taxonomy:S-05</x:v>
      </x:c>
      <x:c r="D40" s="24" t="str">
        <x:v>מדעים — המרת יחידות</x:v>
      </x:c>
      <x:c r="E40" s="24" t="str">
        <x:v>בלבול יחידות</x:v>
      </x:c>
      <x:c r="F40" s="24" t="str">
        <x:v>בדוח הורים: תווית הקושי שהמנוע מצא + הסבר מאושר מתחתיה</x:v>
      </x:c>
      <x:c r="G40" s="24" t="str">
        <x:v>המערכת זיהתה קושי בשימוש נכון ביחידות מדידה ובהמרה ביניהן. הכוונה היא לבדוק אם מודדים אורך, מסה, זמן או נפח, ולהשתמש ביחידה המתאימה.</x:v>
      </x:c>
      <x:c r="H40" s="24" t="str">
        <x:v>1000 גרם = 1 ק״ג</x:v>
      </x:c>
      <x:c r="I40" s="24" t="str">
        <x:v>מיושם ומאושר</x:v>
      </x:c>
      <x:c r="J40" s="24" t="str">
        <x:v>owner_science_subject_batch_approved</x:v>
      </x:c>
      <x:c r="K40" s="24" t="str"/>
    </x:row>
    <x:row r="41" ht="39.599998474121094" hidden="0" customHeight="1">
      <x:c r="A41" s="24" t="str">
        <x:v>מדעים</x:v>
      </x:c>
      <x:c r="B41" s="24" t="str">
        <x:v>S-06</x:v>
      </x:c>
      <x:c r="C41" s="24" t="str">
        <x:v>finding:taxonomy:S-06</x:v>
      </x:c>
      <x:c r="D41" s="24" t="str">
        <x:v>מדעים — קריאת ציר</x:v>
      </x:c>
      <x:c r="E41" s="24" t="str">
        <x:v>טעות בערך מגרף</x:v>
      </x:c>
      <x:c r="F41" s="24" t="str">
        <x:v>בדוח הורים: תווית הקושי שהמנוע מצא + הסבר מאושר מתחתיה</x:v>
      </x:c>
      <x:c r="G41" s="24" t="str">
        <x:v>המערכת זיהתה קושי בקריאת ערכים מתוך גרף. הכוונה היא להבין מה כל ציר מייצג, למצוא את הנקודה המתאימה, ולקרוא ממנה את הערך הנכון.</x:v>
      </x:c>
      <x:c r="H41" s="24" t="str">
        <x:v>ציר X / ציר Y</x:v>
      </x:c>
      <x:c r="I41" s="24" t="str">
        <x:v>מיושם ומאושר</x:v>
      </x:c>
      <x:c r="J41" s="24" t="str">
        <x:v>owner_science_subject_batch_approved</x:v>
      </x:c>
      <x:c r="K41" s="24" t="str"/>
    </x:row>
    <x:row r="42" ht="26.399999618530273" hidden="0" customHeight="1">
      <x:c r="A42" s="24" t="str">
        <x:v>מדעים</x:v>
      </x:c>
      <x:c r="B42" s="24" t="str">
        <x:v>S-07</x:v>
      </x:c>
      <x:c r="C42" s="24" t="str">
        <x:v>finding:taxonomy:S-07</x:v>
      </x:c>
      <x:c r="D42" s="24" t="str">
        <x:v>מדעים — רשת מזון</x:v>
      </x:c>
      <x:c r="E42" s="24" t="str">
        <x:v>רמה שגויה חוזרת</x:v>
      </x:c>
      <x:c r="F42" s="24" t="str">
        <x:v>בדוח הורים: תווית הקושי שהמנוע מצא + הסבר מאושר מתחתיה</x:v>
      </x:c>
      <x:c r="G42" s="24" t="str">
        <x:v>המערכת זיהתה קושי בהבנת קשרי אכילה והעברת אנרגיה בטבע. הכוונה היא לזהות מי אוכל את מי, ומה התפקיד של כל יצור במערכת.</x:v>
      </x:c>
      <x:c r="H42" s="24" t="str">
        <x:v>צמח → ארנב → שועל</x:v>
      </x:c>
      <x:c r="I42" s="24" t="str">
        <x:v>מיושם ומאושר</x:v>
      </x:c>
      <x:c r="J42" s="24" t="str">
        <x:v>owner_science_subject_batch_approved</x:v>
      </x:c>
      <x:c r="K42" s="24" t="str"/>
    </x:row>
    <x:row r="43" ht="39.599998474121094" hidden="0" customHeight="1">
      <x:c r="A43" s="24" t="str">
        <x:v>מדעים</x:v>
      </x:c>
      <x:c r="B43" s="24" t="str">
        <x:v>S-08</x:v>
      </x:c>
      <x:c r="C43" s="24" t="str">
        <x:v>finding:taxonomy:S-08</x:v>
      </x:c>
      <x:c r="D43" s="24" t="str">
        <x:v>מדעים — מקור לטענה</x:v>
      </x:c>
      <x:c r="E43" s="24" t="str">
        <x:v>טענה לא מבוססת</x:v>
      </x:c>
      <x:c r="F43" s="24" t="str">
        <x:v>בדוח הורים: תווית הקושי שהמנוע מצא + הסבר מאושר מתחתיה</x:v>
      </x:c>
      <x:c r="G43" s="24" t="str">
        <x:v>המערכת זיהתה קושי בביסוס תשובה על מקור מידע. הכוונה היא לא להסתפק בתחושה או ניחוש, אלא למצוא בטקסט, בתצפית או בנתונים מה תומך בטענה.</x:v>
      </x:c>
      <x:c r="H43" s="24" t="str">
        <x:v>לפי הטקסט / לפי התצפית</x:v>
      </x:c>
      <x:c r="I43" s="24" t="str">
        <x:v>מיושם ומאושר</x:v>
      </x:c>
      <x:c r="J43" s="24" t="str">
        <x:v>owner_science_subject_batch_approved</x:v>
      </x:c>
      <x:c r="K43" s="24" t="str"/>
    </x:row>
    <x:row r="44" ht="26.399999618530273" hidden="0" customHeight="1">
      <x:c r="A44" s="24" t="str">
        <x:v>מולדת/גאוגרפיה</x:v>
      </x:c>
      <x:c r="B44" s="24" t="str">
        <x:v>MG-01</x:v>
      </x:c>
      <x:c r="C44" s="24" t="str">
        <x:v>finding:taxonomy:MG-01</x:v>
      </x:c>
      <x:c r="D44" s="24" t="str">
        <x:v>מפות — סולם</x:v>
      </x:c>
      <x:c r="E44" s="24" t="str">
        <x:v>מרחקים יחסיים שגויים</x:v>
      </x:c>
      <x:c r="F44" s="24" t="str">
        <x:v>בדוח הורים: תווית הקושי שהמנוע מצא + הסבר מאושר מתחתיה</x:v>
      </x:c>
      <x:c r="G44" s="24" t="str">
        <x:v>המערכת זיהתה קושי בהבנת סולם במפה. הכוונה היא להבין איך מרחק קטן במפה מייצג מרחק גדול יותר במציאות.</x:v>
      </x:c>
      <x:c r="H44" s="24" t="str">
        <x:v>1 ס״מ במפה = 1 ק״מ במציאות</x:v>
      </x:c>
      <x:c r="I44" s="24" t="str">
        <x:v>מיושם ומאושר</x:v>
      </x:c>
      <x:c r="J44" s="24" t="str">
        <x:v>owner_moledet_geography_batch_approved</x:v>
      </x:c>
      <x:c r="K44" s="24" t="str">
        <x:v>האצווה הושלמה; התווית המקצועית נשארת וההסבר מופיע רק אם האבחון הזה אובחן.</x:v>
      </x:c>
    </x:row>
    <x:row r="45" ht="39.599998474121094" hidden="0" customHeight="1">
      <x:c r="A45" s="24" t="str">
        <x:v>מולדת/גאוגרפיה</x:v>
      </x:c>
      <x:c r="B45" s="24" t="str">
        <x:v>MG-02</x:v>
      </x:c>
      <x:c r="C45" s="24" t="str">
        <x:v>finding:taxonomy:MG-02</x:v>
      </x:c>
      <x:c r="D45" s="24" t="str">
        <x:v>כיוון — צפון מוחלט</x:v>
      </x:c>
      <x:c r="E45" s="24" t="str">
        <x:v>בלבול כשהמפה מוטה</x:v>
      </x:c>
      <x:c r="F45" s="24" t="str">
        <x:v>בדוח הורים: תווית הקושי שהמנוע מצא + הסבר מאושר מתחתיה</x:v>
      </x:c>
      <x:c r="G45" s="24" t="str">
        <x:v>המערכת זיהתה קושי בזיהוי כיוון צפון במפה. הכוונה היא להשתמש בחץ הצפון או בסימון הכיוונים, גם כשהמפה מסובבת או לא מוצגת כמו שרגילים לראות.</x:v>
      </x:c>
      <x:c r="H45" s="24" t="str">
        <x:v>חץ צפון במפה</x:v>
      </x:c>
      <x:c r="I45" s="24" t="str">
        <x:v>מיושם ומאושר</x:v>
      </x:c>
      <x:c r="J45" s="24" t="str">
        <x:v>owner_moledet_geography_batch_approved</x:v>
      </x:c>
      <x:c r="K45" s="24" t="str">
        <x:v>האצווה הושלמה; התווית המקצועית נשארת וההסבר מופיע רק אם האבחון הזה אובחן.</x:v>
      </x:c>
    </x:row>
    <x:row r="46" ht="39.599998474121094" hidden="0" customHeight="1">
      <x:c r="A46" s="24" t="str">
        <x:v>מולדת/גאוגרפיה</x:v>
      </x:c>
      <x:c r="B46" s="24" t="str">
        <x:v>MG-03</x:v>
      </x:c>
      <x:c r="C46" s="24" t="str">
        <x:v>finding:taxonomy:MG-03</x:v>
      </x:c>
      <x:c r="D46" s="24" t="str">
        <x:v>אזרחות — זכות/חובה</x:v>
      </x:c>
      <x:c r="E46" s="24" t="str">
        <x:v>מיון שגוי חוזר</x:v>
      </x:c>
      <x:c r="F46" s="24" t="str">
        <x:v>בדוח הורים: תווית הקושי שהמנוע מצא + הסבר מאושר מתחתיה</x:v>
      </x:c>
      <x:c r="G46" s="24" t="str">
        <x:v>המערכת זיהתה קושי בהבחנה בין זכות לבין חובה. זכות היא דבר שמגיע לאדם או לאזרח, וחובה היא דבר שמצופה ממנו לעשות או לקיים.</x:v>
      </x:c>
      <x:c r="H46" s="24" t="str">
        <x:v>זכות לחינוך / חובה לשמור על הכללים</x:v>
      </x:c>
      <x:c r="I46" s="24" t="str">
        <x:v>מיושם ומאושר</x:v>
      </x:c>
      <x:c r="J46" s="24" t="str">
        <x:v>owner_moledet_geography_batch_approved</x:v>
      </x:c>
      <x:c r="K46" s="24" t="str">
        <x:v>האצווה הושלמה; התווית המקצועית נשארת וההסבר מופיע רק אם האבחון הזה אובחן.</x:v>
      </x:c>
    </x:row>
    <x:row r="47" ht="26.399999618530273" hidden="0" customHeight="1">
      <x:c r="A47" s="24" t="str">
        <x:v>מולדת/גאוגרפיה</x:v>
      </x:c>
      <x:c r="B47" s="24" t="str">
        <x:v>MG-04</x:v>
      </x:c>
      <x:c r="C47" s="24" t="str">
        <x:v>finding:taxonomy:MG-04</x:v>
      </x:c>
      <x:c r="D47" s="24" t="str">
        <x:v>היסטוריה — סדר אירועים</x:v>
      </x:c>
      <x:c r="E47" s="24" t="str">
        <x:v>סדר הפוך</x:v>
      </x:c>
      <x:c r="F47" s="24" t="str">
        <x:v>בדוח הורים: תווית הקושי שהמנוע מצא + הסבר מאושר מתחתיה</x:v>
      </x:c>
      <x:c r="G47" s="24" t="str">
        <x:v>המערכת זיהתה קושי בסידור אירועים לפי רצף זמן. הכוונה היא להבין מה קרה קודם, מה קרה אחר כך, ואיך האירועים קשורים זה לזה.</x:v>
      </x:c>
      <x:c r="H47" s="24" t="str">
        <x:v>לפני / אחרי</x:v>
      </x:c>
      <x:c r="I47" s="24" t="str">
        <x:v>מיושם ומאושר</x:v>
      </x:c>
      <x:c r="J47" s="24" t="str">
        <x:v>owner_moledet_geography_batch_approved</x:v>
      </x:c>
      <x:c r="K47" s="24" t="str">
        <x:v>האצווה הושלמה; התווית המקצועית נשארת וההסבר מופיע רק אם האבחון הזה אובחן.</x:v>
      </x:c>
    </x:row>
    <x:row r="48" ht="26.399999618530273" hidden="0" customHeight="1">
      <x:c r="A48" s="24" t="str">
        <x:v>מולדת/גאוגרפיה</x:v>
      </x:c>
      <x:c r="B48" s="24" t="str">
        <x:v>MG-05</x:v>
      </x:c>
      <x:c r="C48" s="24" t="str">
        <x:v>finding:taxonomy:MG-05</x:v>
      </x:c>
      <x:c r="D48" s="24" t="str">
        <x:v>גאוגרפיה — מפת אקלים</x:v>
      </x:c>
      <x:c r="E48" s="24" t="str">
        <x:v>אזור שגוי חוזר</x:v>
      </x:c>
      <x:c r="F48" s="24" t="str">
        <x:v>בדוח הורים: תווית הקושי שהמנוע מצא + הסבר מאושר מתחתיה</x:v>
      </x:c>
      <x:c r="G48" s="24" t="str">
        <x:v>המערכת זיהתה קושי בקריאת מפת אקלים. הכוונה היא להשתמש בצבעים, בסימנים ובמקרא כדי להבין איזה סוג אקלים מופיע בכל אזור.</x:v>
      </x:c>
      <x:c r="H48" s="24" t="str">
        <x:v>מדברי / ים־תיכוני</x:v>
      </x:c>
      <x:c r="I48" s="24" t="str">
        <x:v>מיושם ומאושר</x:v>
      </x:c>
      <x:c r="J48" s="24" t="str">
        <x:v>owner_moledet_geography_batch_approved</x:v>
      </x:c>
      <x:c r="K48" s="24" t="str">
        <x:v>האצווה הושלמה; התווית המקצועית נשארת וההסבר מופיע רק אם האבחון הזה אובחן.</x:v>
      </x:c>
    </x:row>
    <x:row r="49" ht="26.399999618530273" hidden="0" customHeight="1">
      <x:c r="A49" s="24" t="str">
        <x:v>מולדת/גאוגרפיה</x:v>
      </x:c>
      <x:c r="B49" s="24" t="str">
        <x:v>MG-06</x:v>
      </x:c>
      <x:c r="C49" s="24" t="str">
        <x:v>finding:taxonomy:MG-06</x:v>
      </x:c>
      <x:c r="D49" s="24" t="str">
        <x:v>אוכלוסין — סיבה־תוצאה</x:v>
      </x:c>
      <x:c r="E49" s="24" t="str">
        <x:v>סיבה שגויה חוזרת</x:v>
      </x:c>
      <x:c r="F49" s="24" t="str">
        <x:v>בדוח הורים: תווית הקושי שהמנוע מצא + הסבר מאושר מתחתיה</x:v>
      </x:c>
      <x:c r="G49" s="24" t="str">
        <x:v>המערכת זיהתה קושי בהבנת קשר של סיבה ותוצאה. הכוונה היא לזהות למה משהו קרה, ומה קרה בעקבותיו.</x:v>
      </x:c>
      <x:c r="H49" s="24" t="str">
        <x:v>הגירה בגלל עבודה</x:v>
      </x:c>
      <x:c r="I49" s="24" t="str">
        <x:v>מיושם ומאושר</x:v>
      </x:c>
      <x:c r="J49" s="24" t="str">
        <x:v>owner_moledet_geography_batch_approved</x:v>
      </x:c>
      <x:c r="K49" s="24" t="str">
        <x:v>האצווה הושלמה; התווית המקצועית נשארת וההסבר מופיע רק אם האבחון הזה אובחן.</x:v>
      </x:c>
    </x:row>
    <x:row r="50" ht="26.399999618530273" hidden="0" customHeight="1">
      <x:c r="A50" s="24" t="str">
        <x:v>מולדת/גאוגרפיה</x:v>
      </x:c>
      <x:c r="B50" s="24" t="str">
        <x:v>MG-07</x:v>
      </x:c>
      <x:c r="C50" s="24" t="str">
        <x:v>finding:taxonomy:MG-07</x:v>
      </x:c>
      <x:c r="D50" s="24" t="str">
        <x:v>אזרחות — תפקיד מוסד</x:v>
      </x:c>
      <x:c r="E50" s="24" t="str">
        <x:v>בלבול תפקידים</x:v>
      </x:c>
      <x:c r="F50" s="24" t="str">
        <x:v>בדוח הורים: תווית הקושי שהמנוע מצא + הסבר מאושר מתחתיה</x:v>
      </x:c>
      <x:c r="G50" s="24" t="str">
        <x:v>המערכת זיהתה קושי בהבנת התפקיד של מוסדות ציבור. הכוונה היא לדעת מה עושה כל מוסד ומה האחריות שלו בחברה.</x:v>
      </x:c>
      <x:c r="H50" s="24" t="str">
        <x:v>כנסת — חקיקה / בית משפט — שיפוט</x:v>
      </x:c>
      <x:c r="I50" s="24" t="str">
        <x:v>מיושם ומאושר</x:v>
      </x:c>
      <x:c r="J50" s="24" t="str">
        <x:v>owner_moledet_geography_batch_approved</x:v>
      </x:c>
      <x:c r="K50" s="24" t="str">
        <x:v>האצווה הושלמה; התווית המקצועית נשארת וההסבר מופיע רק אם האבחון הזה אובחן.</x:v>
      </x:c>
    </x:row>
    <x:row r="51" ht="39.599998474121094" hidden="0" customHeight="1">
      <x:c r="A51" s="24" t="str">
        <x:v>מולדת/גאוגרפיה</x:v>
      </x:c>
      <x:c r="B51" s="24" t="str">
        <x:v>MG-08</x:v>
      </x:c>
      <x:c r="C51" s="24" t="str">
        <x:v>finding:taxonomy:MG-08</x:v>
      </x:c>
      <x:c r="D51" s="24" t="str">
        <x:v>מפות — סימבולים</x:v>
      </x:c>
      <x:c r="E51" s="24" t="str">
        <x:v>סימול שגוי חוזר</x:v>
      </x:c>
      <x:c r="F51" s="24" t="str">
        <x:v>בדוח הורים: תווית הקושי שהמנוע מצא + הסבר מאושר מתחתיה</x:v>
      </x:c>
      <x:c r="G51" s="24" t="str">
        <x:v>המערכת זיהתה קושי בהבנת סימנים במפה. הכוונה היא להשתמש במקרא המפה כדי להבין מה מסמנים כביש, נהר, יישוב, גבול או מקום חשוב.</x:v>
      </x:c>
      <x:c r="H51" s="24" t="str">
        <x:v>מקרא מפה</x:v>
      </x:c>
      <x:c r="I51" s="24" t="str">
        <x:v>מיושם ומאושר</x:v>
      </x:c>
      <x:c r="J51" s="24" t="str">
        <x:v>owner_moledet_geography_batch_approved</x:v>
      </x:c>
      <x:c r="K51" s="24" t="str">
        <x:v>האצווה הושלמה; התווית המקצועית נשארת וההסבר מופיע רק אם האבחון הזה אובחן.</x:v>
      </x:c>
    </x:row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I2:I51">
    <x:cfRule type="expression" dxfId="0" priority="1">
      <x:formula>I2="מיושם ומאושר"</x:formula>
    </x:cfRule>
    <x:cfRule type="expression" dxfId="1" priority="2">
      <x:formula>I2="ממתין ליישום/אישור"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0610e8182e42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34" hidden="0" customWidth="1"/>
  </x:cols>
  <x:sheetData>
    <x:row r="1" ht="18" hidden="0" customHeight="1">
      <x:c r="A1" s="6" t="str">
        <x:v>סיכום לפי מקצוע</x:v>
      </x:c>
      <x:c r="B1" s="6"/>
      <x:c r="C1" s="6"/>
      <x:c r="D1" s="6"/>
      <x:c r="E1" s="6"/>
      <x:c r="F1" s="6"/>
    </x:row>
    <x:row r="2"/>
    <x:row r="3" ht="15" hidden="0" customHeight="1">
      <x:c r="A3" s="38" t="str">
        <x:v>מקצוע</x:v>
      </x:c>
      <x:c r="B3" s="38" t="str">
        <x:v>סה״כ אבחונים</x:v>
      </x:c>
      <x:c r="C3" s="38" t="str">
        <x:v>מיושם ומאושר</x:v>
      </x:c>
      <x:c r="D3" s="38" t="str">
        <x:v>ממתין</x:v>
      </x:c>
      <x:c r="E3" s="38" t="str">
        <x:v>אחוז מיושם</x:v>
      </x:c>
      <x:c r="F3" s="38" t="str">
        <x:v>הערה</x:v>
      </x:c>
    </x:row>
    <x:row r="4" ht="15" hidden="0" customHeight="1">
      <x:c r="A4" s="22" t="str">
        <x:v>מתמטיקה</x:v>
      </x:c>
      <x:c r="B4" s="22" t="n">
        <x:f>COUNTIF('02_מיפוי_מלא'!$A:$A,A4)</x:f>
        <x:v>10</x:v>
      </x:c>
      <x:c r="C4" s="22" t="n">
        <x:f>COUNTIFS('02_מיפוי_מלא'!$A:$A,A4,'02_מיפוי_מלא'!$I:$I,"מיושם ומאושר")</x:f>
        <x:v>10</x:v>
      </x:c>
      <x:c r="D4" s="22" t="n">
        <x:f>COUNTIFS('02_מיפוי_מלא'!$A:$A,A4,'02_מיפוי_מלא'!$I:$I,"ממתין ליישום/אישור")</x:f>
        <x:v>0</x:v>
      </x:c>
      <x:c r="E4" s="52" t="n">
        <x:f>IF(B4=0,0,C4/B4)</x:f>
        <x:v>1</x:v>
      </x:c>
      <x:c r="F4" s="22" t="str">
        <x:v>בוצע</x:v>
      </x:c>
    </x:row>
    <x:row r="5" ht="15" hidden="0" customHeight="1">
      <x:c r="A5" s="22" t="str">
        <x:v>גיאומטריה</x:v>
      </x:c>
      <x:c r="B5" s="22" t="n">
        <x:f>COUNTIF('02_מיפוי_מלא'!$A:$A,A5)</x:f>
        <x:v>8</x:v>
      </x:c>
      <x:c r="C5" s="22" t="n">
        <x:f>COUNTIFS('02_מיפוי_מלא'!$A:$A,A5,'02_מיפוי_מלא'!$I:$I,"מיושם ומאושר")</x:f>
        <x:v>8</x:v>
      </x:c>
      <x:c r="D5" s="22" t="n">
        <x:f>COUNTIFS('02_מיפוי_מלא'!$A:$A,A5,'02_מיפוי_מלא'!$I:$I,"ממתין ליישום/אישור")</x:f>
        <x:v>0</x:v>
      </x:c>
      <x:c r="E5" s="52" t="n">
        <x:f>IF(B5=0,0,C5/B5)</x:f>
        <x:v>1</x:v>
      </x:c>
      <x:c r="F5" s="22" t="str">
        <x:v>בוצע</x:v>
      </x:c>
    </x:row>
    <x:row r="6" ht="15" hidden="0" customHeight="1">
      <x:c r="A6" s="22" t="str">
        <x:v>עברית</x:v>
      </x:c>
      <x:c r="B6" s="22" t="n">
        <x:f>COUNTIF('02_מיפוי_מלא'!$A:$A,A6)</x:f>
        <x:v>8</x:v>
      </x:c>
      <x:c r="C6" s="22" t="n">
        <x:f>COUNTIFS('02_מיפוי_מלא'!$A:$A,A6,'02_מיפוי_מלא'!$I:$I,"מיושם ומאושר")</x:f>
        <x:v>8</x:v>
      </x:c>
      <x:c r="D6" s="22" t="n">
        <x:f>COUNTIFS('02_מיפוי_מלא'!$A:$A,A6,'02_מיפוי_מלא'!$I:$I,"ממתין ליישום/אישור")</x:f>
        <x:v>0</x:v>
      </x:c>
      <x:c r="E6" s="52" t="n">
        <x:f>IF(B6=0,0,C6/B6)</x:f>
        <x:v>1</x:v>
      </x:c>
      <x:c r="F6" s="22" t="str">
        <x:v>בוצע</x:v>
      </x:c>
    </x:row>
    <x:row r="7" ht="15" hidden="0" customHeight="1">
      <x:c r="A7" s="22" t="str">
        <x:v>אנגלית</x:v>
      </x:c>
      <x:c r="B7" s="22" t="n">
        <x:f>COUNTIF('02_מיפוי_מלא'!$A:$A,A7)</x:f>
        <x:v>8</x:v>
      </x:c>
      <x:c r="C7" s="22" t="n">
        <x:f>COUNTIFS('02_מיפוי_מלא'!$A:$A,A7,'02_מיפוי_מלא'!$I:$I,"מיושם ומאושר")</x:f>
        <x:v>8</x:v>
      </x:c>
      <x:c r="D7" s="22" t="n">
        <x:f>COUNTIFS('02_מיפוי_מלא'!$A:$A,A7,'02_מיפוי_מלא'!$I:$I,"ממתין ליישום/אישור")</x:f>
        <x:v>0</x:v>
      </x:c>
      <x:c r="E7" s="52" t="n">
        <x:f>IF(B7=0,0,C7/B7)</x:f>
        <x:v>1</x:v>
      </x:c>
      <x:c r="F7" s="22" t="str">
        <x:v>בוצע</x:v>
      </x:c>
    </x:row>
    <x:row r="8" ht="15" hidden="0" customHeight="1">
      <x:c r="A8" s="22" t="str">
        <x:v>מדעים</x:v>
      </x:c>
      <x:c r="B8" s="22" t="n">
        <x:f>COUNTIF('02_מיפוי_מלא'!$A:$A,A8)</x:f>
        <x:v>8</x:v>
      </x:c>
      <x:c r="C8" s="22" t="n">
        <x:f>COUNTIFS('02_מיפוי_מלא'!$A:$A,A8,'02_מיפוי_מלא'!$I:$I,"מיושם ומאושר")</x:f>
        <x:v>8</x:v>
      </x:c>
      <x:c r="D8" s="22" t="n">
        <x:f>COUNTIFS('02_מיפוי_מלא'!$A:$A,A8,'02_מיפוי_מלא'!$I:$I,"ממתין ליישום/אישור")</x:f>
        <x:v>0</x:v>
      </x:c>
      <x:c r="E8" s="52" t="n">
        <x:f>IF(B8=0,0,C8/B8)</x:f>
        <x:v>1</x:v>
      </x:c>
      <x:c r="F8" s="22" t="str">
        <x:v>בוצע</x:v>
      </x:c>
    </x:row>
    <x:row r="9" ht="15" hidden="0" customHeight="1">
      <x:c r="A9" s="22" t="str">
        <x:v>מולדת/גאוגרפיה</x:v>
      </x:c>
      <x:c r="B9" s="22" t="n">
        <x:f>COUNTIF('02_מיפוי_מלא'!$A:$A,A9)</x:f>
        <x:v>8</x:v>
      </x:c>
      <x:c r="C9" s="22" t="n">
        <x:v>8</x:v>
      </x:c>
      <x:c r="D9" s="22" t="n">
        <x:v>0</x:v>
      </x:c>
      <x:c r="E9" s="52" t="n">
        <x:v>1</x:v>
      </x:c>
      <x:c r="F9" s="22" t="str">
        <x:v>בוצע</x:v>
      </x:c>
    </x:row>
    <x:row r="10" ht="15" hidden="0" customHeight="1">
      <x:c r="A10" s="48" t="str">
        <x:v>סה״כ</x:v>
      </x:c>
      <x:c r="B10" s="48" t="n">
        <x:f>SUM(B4:B9)</x:f>
        <x:v>50</x:v>
      </x:c>
      <x:c r="C10" s="48" t="n">
        <x:v>50</x:v>
      </x:c>
      <x:c r="D10" s="48" t="n">
        <x:v>0</x:v>
      </x:c>
      <x:c r="E10" s="53" t="n">
        <x:v>1</x:v>
      </x:c>
      <x:c r="F10" s="48" t="str">
        <x:v>כל 50 האבחונים מיושמים ומאושרים</x:v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</x:cols>
  <x:sheetData>
    <x:row r="1" ht="18" hidden="0" customHeight="1">
      <x:c r="A1" s="6" t="str">
        <x:v>כללי תצוגה ויישום</x:v>
      </x:c>
      <x:c r="B1" s="6"/>
      <x:c r="C1" s="6"/>
      <x:c r="D1" s="6"/>
      <x:c r="E1" s="6"/>
      <x:c r="F1" s="6"/>
    </x:row>
    <x:row r="2"/>
    <x:row r="3" ht="15" hidden="0" customHeight="1">
      <x:c r="A3" s="38" t="str">
        <x:v>כלל</x:v>
      </x:c>
      <x:c r="B3" s="38" t="str">
        <x:v>מה עושים</x:v>
      </x:c>
      <x:c r="C3" s="38" t="str">
        <x:v>מה לא עושים</x:v>
      </x:c>
    </x:row>
    <x:row r="4" ht="15" hidden="0" customHeight="1">
      <x:c r="A4" s="22" t="str">
        <x:v>הצגת הסבר</x:v>
      </x:c>
      <x:c r="B4" s="22" t="str">
        <x:v>מציגים רק אם אותו finding אובחן בפועל בדוח ההורים.</x:v>
      </x:c>
      <x:c r="C4" s="22" t="str">
        <x:v>לא מציגים הסברים לנושאים שלא אובחנו.</x:v>
      </x:c>
    </x:row>
    <x:row r="5" ht="26.399999618530273" hidden="0" customHeight="1">
      <x:c r="A5" s="22" t="str">
        <x:v>תווית מקצועית</x:v>
      </x:c>
      <x:c r="B5" s="22" t="str">
        <x:v>משאירים את שם האבחון/דפוס המנוע כמו שהוא.</x:v>
      </x:c>
      <x:c r="C5" s="22" t="str">
        <x:v>לא משנים/מחליפים מונחים מקצועיים כמו נשיאה, collocation או שימור מסה.</x:v>
      </x:c>
    </x:row>
    <x:row r="6" ht="15" hidden="0" customHeight="1">
      <x:c r="A6" s="22" t="str">
        <x:v>עברית</x:v>
      </x:c>
      <x:c r="B6" s="22" t="str">
        <x:v>משתמשים רק בנוסח עברי שאושר מראש.</x:v>
      </x:c>
      <x:c r="C6" s="22" t="str">
        <x:v>לא נותנים ל־Cursor לנסח לבד.</x:v>
      </x:c>
    </x:row>
    <x:row r="7" ht="26.399999618530273" hidden="0" customHeight="1">
      <x:c r="A7" s="22" t="str">
        <x:v>מיקום</x:v>
      </x:c>
      <x:c r="B7" s="22" t="str">
        <x:v>בדוח הקצר: מתחת לשורת הקושי. בדוח המפורט: ליד/מתחת לאבחון הגלוי.</x:v>
      </x:c>
      <x:c r="C7" s="22" t="str">
        <x:v>לא בתוך המלצות פעולה, מטרות שבועיות או גלוסרי.</x:v>
      </x:c>
    </x:row>
    <x:row r="8" ht="15" hidden="0" customHeight="1">
      <x:c r="A8" s="22" t="str">
        <x:v>דוגמאות</x:v>
      </x:c>
      <x:c r="B8" s="22" t="str">
        <x:v>דוגמה בשורה נפרדת עם טיפול כיוון מתאים.</x:v>
      </x:c>
      <x:c r="C8" s="22" t="str">
        <x:v>לא לשים תרגיל באמצע משפט עברי.</x:v>
      </x:c>
    </x:row>
    <x:row r="9" ht="15" hidden="0" customHeight="1">
      <x:c r="A9" s="22" t="str">
        <x:v>דוחות אחרים</x:v>
      </x:c>
      <x:c r="B9" s="22" t="str">
        <x:v>השינוי הוא לדוח הורים בלבד.</x:v>
      </x:c>
      <x:c r="C9" s="22" t="str">
        <x:v>לא לגעת בדוחות מורים/בית ספר/מנהל/כיתה.</x:v>
      </x:c>
    </x:row>
    <x:row r="10" ht="15" hidden="0" customHeight="1">
      <x:c r="A10" s="22" t="str">
        <x:v>לא ממופה</x:v>
      </x:c>
      <x:c r="B10" s="22" t="str">
        <x:v>אם אין key מאושר — לא מציגים הסבר.</x:v>
      </x:c>
      <x:c r="C10" s="22" t="str">
        <x:v>לא להמציא טקסט מילוי.</x:v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F1"/>
  </x:mergeCells>
  <x:pageMargins left="0.7" right="0.7" top="0.75" bottom="0.75" header="0.3" footer="0.3"/>
</x:worksheet>
</file>