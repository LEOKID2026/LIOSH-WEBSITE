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הסבר" sheetId="1" state="visible" r:id="rId1"/>
    <sheet xmlns:r="http://schemas.openxmlformats.org/officeDocument/2006/relationships" name="02_מיפוי_מלא" sheetId="2" state="visible" r:id="rId2"/>
    <sheet xmlns:r="http://schemas.openxmlformats.org/officeDocument/2006/relationships" name="03_סיכום" sheetId="3" state="visible" r:id="rId3"/>
    <sheet xmlns:r="http://schemas.openxmlformats.org/officeDocument/2006/relationships" name="04_כללי_תצוגה" sheetId="4" state="visible" r:id="rId4"/>
  </sheets>
  <definedNames>
    <definedName name="_xlnm._FilterDatabase" localSheetId="1" hidden="1">'02_מיפוי_מלא'!$A$1:$K$51</definedName>
  </definedNames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00FFFFFF"/>
      <sz val="15"/>
    </font>
    <font>
      <name val="Carlito"/>
      <b val="1"/>
      <color rgb="001F4E79"/>
      <sz val="11"/>
    </font>
    <font>
      <name val="Carlito"/>
      <color rgb="007C2D12"/>
      <sz val="11"/>
    </font>
    <font>
      <name val="Carlito"/>
      <b val="1"/>
      <color rgb="00FFFFFF"/>
      <sz val="11"/>
    </font>
    <font>
      <name val="Carlito"/>
      <b val="1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  <fill>
      <patternFill patternType="solid">
        <fgColor rgb="00FFF7ED"/>
      </patternFill>
    </fill>
    <fill>
      <patternFill patternType="solid">
        <fgColor rgb="000F766E"/>
      </patternFill>
    </fill>
    <fill>
      <patternFill patternType="solid">
        <fgColor rgb="00E0F2FE"/>
      </patternFill>
    </fill>
  </fills>
  <borders count="2">
    <border/>
    <border/>
  </borders>
  <cellStyleXfs count="1">
    <xf numFmtId="0" fontId="0" fillId="0" borderId="1"/>
  </cellStyleXfs>
  <cellXfs count="6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right" wrapText="1"/>
    </xf>
    <xf numFmtId="0" fontId="2" fillId="3" borderId="0" applyAlignment="1" pivotButton="0" quotePrefix="0" xfId="0">
      <alignment horizontal="righ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right" wrapText="1"/>
    </xf>
    <xf numFmtId="0" fontId="2" fillId="3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top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vertical="top" wrapText="1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wrapText="1"/>
    </xf>
    <xf numFmtId="0" fontId="4" fillId="5" borderId="0" applyAlignment="1" pivotButton="0" quotePrefix="0" xfId="0">
      <alignment horizontal="center" wrapText="1"/>
    </xf>
    <xf numFmtId="0" fontId="4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wrapText="1"/>
    </xf>
    <xf numFmtId="0" fontId="4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0" fillId="6" borderId="0" pivotButton="0" quotePrefix="0" xfId="0"/>
    <xf numFmtId="0" fontId="5" fillId="6" borderId="0" pivotButton="0" quotePrefix="0" xfId="0"/>
    <xf numFmtId="0" fontId="5" fillId="6" borderId="0" applyAlignment="1" pivotButton="0" quotePrefix="0" xfId="0">
      <alignment wrapText="1"/>
    </xf>
    <xf numFmtId="0" fontId="0" fillId="6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wrapText="1"/>
    </xf>
    <xf numFmtId="9" fontId="0" fillId="0" borderId="0" applyAlignment="1" pivotButton="0" quotePrefix="0" xfId="0">
      <alignment wrapText="1"/>
    </xf>
    <xf numFmtId="9" fontId="5" fillId="6" borderId="0" applyAlignment="1" pivotButton="0" quotePrefix="0" xfId="0">
      <alignment wrapText="1"/>
    </xf>
    <xf numFmtId="9" fontId="0" fillId="0" borderId="1" applyAlignment="1" pivotButton="0" quotePrefix="0" xfId="0">
      <alignment wrapText="1"/>
    </xf>
    <xf numFmtId="9" fontId="5" fillId="6" borderId="1" applyAlignment="1" pivotButton="0" quotePrefix="0" xfId="0">
      <alignment wrapText="1"/>
    </xf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 readingOrder="2"/>
    </xf>
    <xf numFmtId="0" fontId="2" fillId="3" borderId="1" applyAlignment="1" pivotButton="0" quotePrefix="0" xfId="0">
      <alignment horizontal="right" vertical="top" wrapText="1" readingOrder="2"/>
    </xf>
    <xf numFmtId="0" fontId="0" fillId="0" borderId="1" applyAlignment="1" pivotButton="0" quotePrefix="0" xfId="0">
      <alignment vertical="top" wrapText="1" readingOrder="2"/>
    </xf>
    <xf numFmtId="0" fontId="3" fillId="4" borderId="1" applyAlignment="1" pivotButton="0" quotePrefix="0" xfId="0">
      <alignment vertical="top" wrapText="1" readingOrder="2"/>
    </xf>
    <xf numFmtId="0" fontId="4" fillId="5" borderId="0" applyAlignment="1" pivotButton="0" quotePrefix="0" xfId="0">
      <alignment horizontal="center" vertical="top" wrapText="1" readingOrder="2"/>
    </xf>
    <xf numFmtId="0" fontId="0" fillId="0" borderId="0" applyAlignment="1" pivotButton="0" quotePrefix="0" xfId="0">
      <alignment vertical="top" wrapText="1" readingOrder="2"/>
    </xf>
    <xf numFmtId="9" fontId="0" fillId="0" borderId="0" applyAlignment="1" pivotButton="0" quotePrefix="0" xfId="0">
      <alignment vertical="top" wrapText="1" readingOrder="2"/>
    </xf>
    <xf numFmtId="0" fontId="5" fillId="6" borderId="0" applyAlignment="1" pivotButton="0" quotePrefix="0" xfId="0">
      <alignment vertical="top" wrapText="1" readingOrder="2"/>
    </xf>
    <xf numFmtId="9" fontId="5" fillId="6" borderId="0" applyAlignment="1" pivotButton="0" quotePrefix="0" xfId="0">
      <alignment vertical="top" wrapText="1" readingOrder="2"/>
    </xf>
  </cellXfs>
  <cellStyles count="1">
    <cellStyle name="Normal" xfId="0"/>
  </cellStyles>
  <dxfs count="2">
    <dxf>
      <font>
        <color rgb="00166534"/>
      </font>
      <fill>
        <patternFill>
          <bgColor rgb="00DCFCE7"/>
        </patternFill>
      </fill>
    </dxf>
    <dxf>
      <font>
        <color rgb="0092400E"/>
      </font>
      <fill>
        <patternFill>
          <bgColor rgb="00FEF3C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ParentDiagnosisMapping" displayName="ParentDiagnosisMapping" ref="A1:K51" headerRowCount="1">
  <tableColumns count="11">
    <tableColumn id="1" name="מקצוע"/>
    <tableColumn id="2" name="קוד"/>
    <tableColumn id="3" name="מפתח lookup"/>
    <tableColumn id="4" name="הבחנה מקצועית"/>
    <tableColumn id="5" name="מה המנוע אומר / מזהה"/>
    <tableColumn id="6" name="מה ההורה רואה בדוח"/>
    <tableColumn id="7" name="הסבר להורה"/>
    <tableColumn id="8" name="דוגמה כללית"/>
    <tableColumn id="9" name="סטטוס"/>
    <tableColumn id="10" name="מקור אישור"/>
    <tableColumn id="11" name="הערות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6" min="1" max="1"/>
    <col width="26" customWidth="1" style="56" min="2" max="2"/>
    <col width="26" customWidth="1" style="56" min="3" max="3"/>
    <col width="26" customWidth="1" style="56" min="4" max="4"/>
    <col width="26" customWidth="1" style="56" min="5" max="5"/>
    <col width="26" customWidth="1" style="56" min="6" max="6"/>
    <col width="26" customWidth="1" style="56" min="7" max="7"/>
    <col width="26" customWidth="1" style="56" min="8" max="8"/>
  </cols>
  <sheetData>
    <row r="1" ht="26" customHeight="1" s="56">
      <c r="A1" s="57" t="inlineStr">
        <is>
          <t>מיפוי הסברי אבחון לדוח הורים — מה המנוע אומר ומה ההורה רואה</t>
        </is>
      </c>
      <c r="B1" s="1" t="n"/>
      <c r="C1" s="1" t="n"/>
      <c r="D1" s="1" t="n"/>
      <c r="E1" s="1" t="n"/>
      <c r="F1" s="1" t="n"/>
      <c r="G1" s="1" t="n"/>
      <c r="H1" s="1" t="n"/>
    </row>
    <row r="2" ht="26" customHeight="1" s="56"/>
    <row r="3" ht="26" customHeight="1" s="56">
      <c r="A3" s="58" t="inlineStr">
        <is>
          <t>מטרה</t>
        </is>
      </c>
      <c r="B3" s="1" t="n"/>
      <c r="C3" s="1" t="n"/>
      <c r="D3" s="1" t="n"/>
      <c r="E3" s="1" t="n"/>
      <c r="F3" s="1" t="n"/>
      <c r="G3" s="1" t="n"/>
      <c r="H3" s="1" t="n"/>
    </row>
    <row r="4" ht="76" customHeight="1" s="56">
      <c r="A4" s="59" t="inlineStr">
        <is>
          <t>הקובץ מרכז את 50 אבחוני הטקסונומיה של מנוע האבחון בדוח הורים. לכל אבחון מופיעים: ההבחנה המקצועית, מה המנוע מזהה/אומר, מה ההורה רואה בדוח, ומה שורת ההסבר המאושרת שמתווספת רק אם אותו אבחון באמת הופיע אצל הילד/ה.</t>
        </is>
      </c>
      <c r="B4" s="1" t="n"/>
      <c r="C4" s="1" t="n"/>
      <c r="D4" s="1" t="n"/>
      <c r="E4" s="1" t="n"/>
      <c r="F4" s="1" t="n"/>
      <c r="G4" s="1" t="n"/>
      <c r="H4" s="1" t="n"/>
    </row>
    <row r="5" ht="26" customHeight="1" s="56">
      <c r="A5" s="1" t="n"/>
      <c r="H5" s="1" t="n"/>
    </row>
    <row r="6" ht="26" customHeight="1" s="56">
      <c r="A6" s="1" t="n"/>
      <c r="H6" s="1" t="n"/>
    </row>
    <row r="7" ht="26" customHeight="1" s="56">
      <c r="A7" s="1" t="n"/>
      <c r="B7" s="1" t="n"/>
      <c r="C7" s="1" t="n"/>
      <c r="D7" s="1" t="n"/>
      <c r="E7" s="1" t="n"/>
      <c r="F7" s="1" t="n"/>
      <c r="G7" s="1" t="n"/>
      <c r="H7" s="1" t="n"/>
    </row>
    <row r="8" ht="26" customHeight="1" s="56"/>
    <row r="9" ht="26" customHeight="1" s="56">
      <c r="A9" s="58" t="inlineStr">
        <is>
          <t>כלל מוצרי חשוב</t>
        </is>
      </c>
      <c r="B9" s="1" t="n"/>
      <c r="C9" s="1" t="n"/>
      <c r="D9" s="1" t="n"/>
      <c r="E9" s="1" t="n"/>
      <c r="F9" s="1" t="n"/>
      <c r="G9" s="1" t="n"/>
      <c r="H9" s="1" t="n"/>
    </row>
    <row r="10" ht="76" customHeight="1" s="56">
      <c r="A10" s="60" t="inlineStr">
        <is>
          <t>לא מחליפים את שם האבחון המקצועי. לא מציגים מילון כללי. אם המנוע אבחן X — ההורה רואה את תווית/דפוס הקושי ובנוסף שורת הסבר קצרה שאושרה. אם המנוע לא אבחן X — לא מופיע הסבר על X. דוגמאות/תרגילים צריכים להופיע בשורה נפרדת ולא באמצע משפט עברי.</t>
        </is>
      </c>
      <c r="B10" s="1" t="n"/>
      <c r="C10" s="1" t="n"/>
      <c r="D10" s="1" t="n"/>
      <c r="E10" s="1" t="n"/>
      <c r="F10" s="1" t="n"/>
      <c r="G10" s="1" t="n"/>
      <c r="H10" s="1" t="n"/>
    </row>
    <row r="11" ht="26" customHeight="1" s="56">
      <c r="A11" s="1" t="n"/>
      <c r="H11" s="1" t="n"/>
    </row>
    <row r="12" ht="26" customHeight="1" s="56">
      <c r="A12" s="1" t="n"/>
      <c r="H12" s="1" t="n"/>
    </row>
    <row r="13" ht="26" customHeight="1" s="56">
      <c r="A13" s="1" t="n"/>
      <c r="H13" s="1" t="n"/>
    </row>
    <row r="14" ht="26" customHeight="1" s="56">
      <c r="A14" s="1" t="n"/>
      <c r="H14" s="1" t="n"/>
    </row>
    <row r="15" ht="26" customHeight="1" s="56">
      <c r="A15" s="1" t="n"/>
      <c r="B15" s="1" t="n"/>
      <c r="C15" s="1" t="n"/>
      <c r="D15" s="1" t="n"/>
      <c r="E15" s="1" t="n"/>
      <c r="F15" s="1" t="n"/>
      <c r="G15" s="1" t="n"/>
      <c r="H15" s="1" t="n"/>
    </row>
    <row r="16" ht="26" customHeight="1" s="56"/>
    <row r="17" ht="26" customHeight="1" s="56">
      <c r="A17" s="61" t="inlineStr">
        <is>
          <t>סטטוס</t>
        </is>
      </c>
      <c r="B17" s="61" t="inlineStr">
        <is>
          <t>משמעות</t>
        </is>
      </c>
      <c r="C17" s="61" t="inlineStr">
        <is>
          <t>פעולה</t>
        </is>
      </c>
    </row>
    <row r="18" ht="26" customHeight="1" s="56">
      <c r="A18" s="62" t="inlineStr">
        <is>
          <t>מיושם ומאושר</t>
        </is>
      </c>
      <c r="B18" s="62" t="inlineStr">
        <is>
          <t>ההסבר כבר אושר ונוסף לשכבת ההסברים</t>
        </is>
      </c>
      <c r="C18" s="62" t="inlineStr">
        <is>
          <t>נדרש רק בדיקת מסך לפי הצורך</t>
        </is>
      </c>
    </row>
    <row r="19" ht="26" customHeight="1" s="56">
      <c r="A19" s="62" t="inlineStr">
        <is>
          <t>ממתין ליישום/אישור</t>
        </is>
      </c>
      <c r="B19" s="62" t="inlineStr">
        <is>
          <t>נוסח מוכן בטבלה אבל לא דווח עדיין כמיושם</t>
        </is>
      </c>
      <c r="C19" s="62" t="inlineStr">
        <is>
          <t>להעביר לביצוע/אישור לפני הפעלה</t>
        </is>
      </c>
    </row>
    <row r="20" ht="26" customHeight="1" s="56">
      <c r="A20" s="62" t="inlineStr">
        <is>
          <t>לא רלוונטי</t>
        </is>
      </c>
      <c r="B20" s="62" t="inlineStr">
        <is>
          <t>אין אבחון כזה בדוח הספציפי</t>
        </is>
      </c>
      <c r="C20" s="62" t="inlineStr">
        <is>
          <t>לא מוצג להורה</t>
        </is>
      </c>
    </row>
    <row r="21" ht="26" customHeight="1" s="56">
      <c r="A21" s="62" t="inlineStr">
        <is>
          <t>לא ממופה</t>
        </is>
      </c>
      <c r="B21" s="62" t="inlineStr">
        <is>
          <t>אם יופיע אבחון לא מוכר</t>
        </is>
      </c>
      <c r="C21" s="62" t="inlineStr">
        <is>
          <t>לא להמציא הסבר</t>
        </is>
      </c>
    </row>
    <row r="22" ht="26" customHeight="1" s="56">
      <c r="A22" s="22" t="str"/>
      <c r="B22" s="22" t="str"/>
      <c r="C22" s="22" t="str"/>
    </row>
  </sheetData>
  <mergeCells count="5">
    <mergeCell ref="A9:H9"/>
    <mergeCell ref="A4:H7"/>
    <mergeCell ref="A3:H3"/>
    <mergeCell ref="A10:H15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28" customWidth="1" style="56" min="3" max="3"/>
    <col width="24" customWidth="1" style="56" min="4" max="4"/>
    <col width="34" customWidth="1" style="56" min="5" max="5"/>
    <col width="52" customWidth="1" style="56" min="6" max="6"/>
    <col width="72" customWidth="1" style="56" min="7" max="7"/>
    <col width="34" customWidth="1" style="56" min="8" max="8"/>
    <col width="16" customWidth="1" style="56" min="9" max="9"/>
    <col width="30" customWidth="1" style="56" min="10" max="10"/>
    <col width="28" customWidth="1" style="56" min="11" max="11"/>
  </cols>
  <sheetData>
    <row r="1" ht="26" customHeight="1" s="56">
      <c r="A1" s="61" t="inlineStr">
        <is>
          <t>מקצוע</t>
        </is>
      </c>
      <c r="B1" s="61" t="inlineStr">
        <is>
          <t>קוד</t>
        </is>
      </c>
      <c r="C1" s="61" t="inlineStr">
        <is>
          <t>מפתח lookup</t>
        </is>
      </c>
      <c r="D1" s="61" t="inlineStr">
        <is>
          <t>הבחנה מקצועית</t>
        </is>
      </c>
      <c r="E1" s="61" t="inlineStr">
        <is>
          <t>מה המנוע אומר / מזהה</t>
        </is>
      </c>
      <c r="F1" s="61" t="inlineStr">
        <is>
          <t>מה ההורה רואה בדוח</t>
        </is>
      </c>
      <c r="G1" s="61" t="inlineStr">
        <is>
          <t>הסבר להורה</t>
        </is>
      </c>
      <c r="H1" s="61" t="inlineStr">
        <is>
          <t>דוגמה כללית</t>
        </is>
      </c>
      <c r="I1" s="61" t="inlineStr">
        <is>
          <t>סטטוס</t>
        </is>
      </c>
      <c r="J1" s="61" t="inlineStr">
        <is>
          <t>מקור אישור</t>
        </is>
      </c>
      <c r="K1" s="61" t="inlineStr">
        <is>
          <t>הערות</t>
        </is>
      </c>
    </row>
    <row r="2" ht="60" customHeight="1" s="56">
      <c r="A2" s="62" t="inlineStr">
        <is>
          <t>מתמטיקה</t>
        </is>
      </c>
      <c r="B2" s="62" t="inlineStr">
        <is>
          <t>M-01</t>
        </is>
      </c>
      <c r="C2" s="62" t="inlineStr">
        <is>
          <t>finding:taxonomy:M-01</t>
        </is>
      </c>
      <c r="D2" s="62" t="inlineStr">
        <is>
          <t>מבנה/פירוק — פירוק 10+1</t>
        </is>
      </c>
      <c r="E2" s="62" t="inlineStr">
        <is>
          <t>טעויות בהמרת ייצוג</t>
        </is>
      </c>
      <c r="F2" s="62" t="inlineStr">
        <is>
          <t>בדוח הורים: תווית הקושי שהמנוע מצא + הסבר מאושר מתחתיה</t>
        </is>
      </c>
      <c r="G2" s="62" t="inlineStr">
        <is>
          <t>המערכת זיהתה קושי בפירוק מספר לעשרות ויחידות. הכוונה היא להבין שמספר מורכב מעשרות ויחידות, כדי להשתמש בזה בחישוב.</t>
        </is>
      </c>
      <c r="H2" s="62" t="inlineStr">
        <is>
          <t>14 = 10 + 4</t>
        </is>
      </c>
      <c r="I2" s="62" t="inlineStr">
        <is>
          <t>מיושם ומאושר</t>
        </is>
      </c>
      <c r="J2" s="62" t="inlineStr">
        <is>
          <t>owner_math_batch_approved</t>
        </is>
      </c>
      <c r="K2" s="62" t="inlineStr">
        <is>
          <t>התווית המקצועית נשארת; ההסבר מופיע רק אם M-01 אובחן.</t>
        </is>
      </c>
    </row>
    <row r="3" ht="60" customHeight="1" s="56">
      <c r="A3" s="62" t="inlineStr">
        <is>
          <t>מתמטיקה</t>
        </is>
      </c>
      <c r="B3" s="62" t="inlineStr">
        <is>
          <t>M-02</t>
        </is>
      </c>
      <c r="C3" s="62" t="inlineStr">
        <is>
          <t>finding:taxonomy:M-02</t>
        </is>
      </c>
      <c r="D3" s="62" t="inlineStr">
        <is>
          <t>חיבור — נשיאה</t>
        </is>
      </c>
      <c r="E3" s="62" t="inlineStr">
        <is>
          <t>שגיאה בעמודת עשרות</t>
        </is>
      </c>
      <c r="F3" s="62" t="inlineStr">
        <is>
          <t>בדוח הורים ההורה לרוב רואה: שגיאה בעמודת עשרות; מתחתיה הסבר מאושר</t>
        </is>
      </c>
      <c r="G3" s="62" t="inlineStr">
        <is>
          <t>המערכת זיהתה קושי בחיבור שבו צריך להעביר עשרת לעמודה הבאה. זה קורה כשמחברים ספרות ומתקבל מספר גדול מ־9.</t>
        </is>
      </c>
      <c r="H3" s="62" t="inlineStr">
        <is>
          <t>27 + 18</t>
        </is>
      </c>
      <c r="I3" s="62" t="inlineStr">
        <is>
          <t>מיושם ומאושר</t>
        </is>
      </c>
      <c r="J3" s="62" t="inlineStr">
        <is>
          <t>owner_math_batch_approved</t>
        </is>
      </c>
      <c r="K3" s="62" t="inlineStr">
        <is>
          <t>נשיאה נשארת אבחון מקצועי; ההורה מקבל פירוש קצר.</t>
        </is>
      </c>
    </row>
    <row r="4" ht="60" customHeight="1" s="56">
      <c r="A4" s="62" t="inlineStr">
        <is>
          <t>מתמטיקה</t>
        </is>
      </c>
      <c r="B4" s="62" t="inlineStr">
        <is>
          <t>M-03</t>
        </is>
      </c>
      <c r="C4" s="62" t="inlineStr">
        <is>
          <t>finding:taxonomy:M-03</t>
        </is>
      </c>
      <c r="D4" s="62" t="inlineStr">
        <is>
          <t>כפל — עובדת כפל</t>
        </is>
      </c>
      <c r="E4" s="62" t="inlineStr">
        <is>
          <t>אותם זוגות שגויים</t>
        </is>
      </c>
      <c r="F4" s="62" t="inlineStr">
        <is>
          <t>בדוח הורים: דפוס של זוגות כפל שחוזרים עם טעויות + הסבר מאושר</t>
        </is>
      </c>
      <c r="G4" s="62" t="inlineStr">
        <is>
          <t>המערכת זיהתה קושי בשליפה של תרגילי כפל בסיסיים. הכוונה היא לזוגות מספרים בכפל שכדאי לדעת במהירות ובדיוק, בלי לחשב מההתחלה בכל פעם.</t>
        </is>
      </c>
      <c r="H4" s="62" t="inlineStr">
        <is>
          <t>7 × 8</t>
        </is>
      </c>
      <c r="I4" s="62" t="inlineStr">
        <is>
          <t>מיושם ומאושר</t>
        </is>
      </c>
      <c r="J4" s="62" t="inlineStr">
        <is>
          <t>owner_math_batch_approved</t>
        </is>
      </c>
      <c r="K4" s="24" t="str"/>
    </row>
    <row r="5" ht="72" customHeight="1" s="56">
      <c r="A5" s="62" t="inlineStr">
        <is>
          <t>מתמטיקה</t>
        </is>
      </c>
      <c r="B5" s="62" t="inlineStr">
        <is>
          <t>M-04</t>
        </is>
      </c>
      <c r="C5" s="62" t="inlineStr">
        <is>
          <t>finding:taxonomy:M-04</t>
        </is>
      </c>
      <c r="D5" s="62" t="inlineStr">
        <is>
          <t>שברים — חלק־כלל</t>
        </is>
      </c>
      <c r="E5" s="62" t="inlineStr">
        <is>
          <t>השוואה לפי מונה בלבד</t>
        </is>
      </c>
      <c r="F5" s="62" t="inlineStr">
        <is>
          <t>בדוח הורים: קושי בשברים/חלק־כלל + הסבר מאושר</t>
        </is>
      </c>
      <c r="G5" s="62" t="inlineStr">
        <is>
          <t>המערכת זיהתה קושי בהבנה ששבר מייצג חלק מתוך שלם. חשוב להבין שהמספר התחתון אומר לכמה חלקים השלם חולק, והמספר העליון אומר כמה חלקים נלקחו.</t>
        </is>
      </c>
      <c r="H5" s="62" t="inlineStr">
        <is>
          <t>2/3</t>
        </is>
      </c>
      <c r="I5" s="62" t="inlineStr">
        <is>
          <t>מיושם ומאושר</t>
        </is>
      </c>
      <c r="J5" s="62" t="inlineStr">
        <is>
          <t>owner_math_batch_approved</t>
        </is>
      </c>
      <c r="K5" s="24" t="str"/>
    </row>
    <row r="6" ht="72" customHeight="1" s="56">
      <c r="A6" s="62" t="inlineStr">
        <is>
          <t>מתמטיקה</t>
        </is>
      </c>
      <c r="B6" s="62" t="inlineStr">
        <is>
          <t>M-05</t>
        </is>
      </c>
      <c r="C6" s="62" t="inlineStr">
        <is>
          <t>finding:taxonomy:M-05</t>
        </is>
      </c>
      <c r="D6" s="62" t="inlineStr">
        <is>
          <t>שברים — המראה</t>
        </is>
      </c>
      <c r="E6" s="62" t="inlineStr">
        <is>
          <t>טעות בשלב התאמת מכנה/המראה</t>
        </is>
      </c>
      <c r="F6" s="62" t="inlineStr">
        <is>
          <t>בדוח הורים: קושי בשברים עם מכנים שונים + הסבר מאושר</t>
        </is>
      </c>
      <c r="G6" s="62" t="inlineStr">
        <is>
          <t>המערכת זיהתה קושי בחיבור או חיסור שברים כשצריך להביא אותם לאותו מכנה לפני החישוב. כלומר, לא מחברים מיד את המונים והמכנים, אלא קודם כותבים את השברים באותו סוג חלקים.</t>
        </is>
      </c>
      <c r="H6" s="62" t="inlineStr">
        <is>
          <t>1/2 + 1/3</t>
        </is>
      </c>
      <c r="I6" s="62" t="inlineStr">
        <is>
          <t>מיושם ומאושר</t>
        </is>
      </c>
      <c r="J6" s="62" t="inlineStr">
        <is>
          <t>owner_math_batch_approved</t>
        </is>
      </c>
      <c r="K6" s="62" t="inlineStr">
        <is>
          <t>לא משנים את המונח המקצועי 'המראה'.</t>
        </is>
      </c>
    </row>
    <row r="7" ht="72" customHeight="1" s="56">
      <c r="A7" s="62" t="inlineStr">
        <is>
          <t>מתמטיקה</t>
        </is>
      </c>
      <c r="B7" s="62" t="inlineStr">
        <is>
          <t>M-06</t>
        </is>
      </c>
      <c r="C7" s="62" t="inlineStr">
        <is>
          <t>finding:taxonomy:M-06</t>
        </is>
      </c>
      <c r="D7" s="62" t="inlineStr">
        <is>
          <t>עשרוניים — עיגול/השוואה</t>
        </is>
      </c>
      <c r="E7" s="62" t="inlineStr">
        <is>
          <t>בלבול בכיוון העיגול</t>
        </is>
      </c>
      <c r="F7" s="62" t="inlineStr">
        <is>
          <t>בדוח הורים: קושי בעיגול/השוואה של עשרוניים + הסבר מאושר</t>
        </is>
      </c>
      <c r="G7" s="62" t="inlineStr">
        <is>
          <t>המערכת זיהתה קושי בעיגול או בהשוואה של מספרים עשרוניים. הכוונה היא להבין את הספרות שאחרי הנקודה ולדעת לפי איזו ספרה מחליטים אם לעגל למעלה או להשאיר.</t>
        </is>
      </c>
      <c r="H7" s="62" t="inlineStr">
        <is>
          <t>4.67 → 4.7</t>
        </is>
      </c>
      <c r="I7" s="62" t="inlineStr">
        <is>
          <t>מיושם ומאושר</t>
        </is>
      </c>
      <c r="J7" s="62" t="inlineStr">
        <is>
          <t>owner_math_batch_approved</t>
        </is>
      </c>
      <c r="K7" s="24" t="str"/>
    </row>
    <row r="8" ht="72" customHeight="1" s="56">
      <c r="A8" s="62" t="inlineStr">
        <is>
          <t>מתמטיקה</t>
        </is>
      </c>
      <c r="B8" s="62" t="inlineStr">
        <is>
          <t>M-07</t>
        </is>
      </c>
      <c r="C8" s="62" t="inlineStr">
        <is>
          <t>finding:taxonomy:M-07</t>
        </is>
      </c>
      <c r="D8" s="62" t="inlineStr">
        <is>
          <t>בעיות מילוליות — יחידות</t>
        </is>
      </c>
      <c r="E8" s="62" t="inlineStr">
        <is>
          <t>מספר נכון + יחידה שגויה</t>
        </is>
      </c>
      <c r="F8" s="62" t="inlineStr">
        <is>
          <t>בדוח הורים: קושי בהתאמת יחידות בתשובה + הסבר מאושר</t>
        </is>
      </c>
      <c r="G8" s="62" t="inlineStr">
        <is>
          <t>המערכת זיהתה קושי בהתאמת יחידת המידה לתשובה. ייתכן שהחישוב המספרי נכון, אבל צריך לבדוק אם התשובה צריכה להיות בקילוגרמים, מטרים, שקלים, דקות וכדומה.</t>
        </is>
      </c>
      <c r="H8" s="62" t="inlineStr">
        <is>
          <t>5 ק״מ / 5 ק״ג</t>
        </is>
      </c>
      <c r="I8" s="62" t="inlineStr">
        <is>
          <t>מיושם ומאושר</t>
        </is>
      </c>
      <c r="J8" s="62" t="inlineStr">
        <is>
          <t>owner_math_batch_approved</t>
        </is>
      </c>
      <c r="K8" s="24" t="str"/>
    </row>
    <row r="9" ht="72" customHeight="1" s="56">
      <c r="A9" s="62" t="inlineStr">
        <is>
          <t>מתמטיקה</t>
        </is>
      </c>
      <c r="B9" s="62" t="inlineStr">
        <is>
          <t>M-08</t>
        </is>
      </c>
      <c r="C9" s="62" t="inlineStr">
        <is>
          <t>finding:taxonomy:M-08</t>
        </is>
      </c>
      <c r="D9" s="62" t="inlineStr">
        <is>
          <t>בעיות מילוליות — רב־שלבי</t>
        </is>
      </c>
      <c r="E9" s="62" t="inlineStr">
        <is>
          <t>כישלון רק באיחוד/בשילוב שלבים</t>
        </is>
      </c>
      <c r="F9" s="62" t="inlineStr">
        <is>
          <t>בדוח הורים: קושי בבעיה עם כמה שלבים + הסבר מאושר</t>
        </is>
      </c>
      <c r="G9" s="62" t="inlineStr">
        <is>
          <t>המערכת זיהתה קושי בפתרון בעיות מילוליות שיש בהן יותר משלב אחד. הכוונה היא לזהות מה צריך לעשות קודם, להשתמש בתוצאה, ואז להמשיך לשלב הבא.</t>
        </is>
      </c>
      <c r="H9" s="62" t="inlineStr">
        <is>
          <t>קנייה + עודף</t>
        </is>
      </c>
      <c r="I9" s="62" t="inlineStr">
        <is>
          <t>מיושם ומאושר</t>
        </is>
      </c>
      <c r="J9" s="62" t="inlineStr">
        <is>
          <t>owner_math_batch_approved</t>
        </is>
      </c>
      <c r="K9" s="24" t="str"/>
    </row>
    <row r="10" ht="60" customHeight="1" s="56">
      <c r="A10" s="62" t="inlineStr">
        <is>
          <t>מתמטיקה</t>
        </is>
      </c>
      <c r="B10" s="62" t="inlineStr">
        <is>
          <t>M-09</t>
        </is>
      </c>
      <c r="C10" s="62" t="inlineStr">
        <is>
          <t>finding:taxonomy:M-09</t>
        </is>
      </c>
      <c r="D10" s="62" t="inlineStr">
        <is>
          <t>חיסור — השלמה לעשר</t>
        </is>
      </c>
      <c r="E10" s="62" t="inlineStr">
        <is>
          <t>כיוון הפוך / הוספה במקום חיסור</t>
        </is>
      </c>
      <c r="F10" s="62" t="inlineStr">
        <is>
          <t>בדוח הורים: קושי באסטרטגיית השלמה לעשר + הסבר מאושר</t>
        </is>
      </c>
      <c r="G10" s="62" t="inlineStr">
        <is>
          <t>המערכת זיהתה קושי בשימוש בעשר הקרובה כדי לחשב חיסור. הכוונה היא לפרק את החיסור לצעדים קטנים, קודם להגיע לעשר ואז להמשיך לחסר.</t>
        </is>
      </c>
      <c r="H10" s="62" t="inlineStr">
        <is>
          <t>13 - 5</t>
        </is>
      </c>
      <c r="I10" s="62" t="inlineStr">
        <is>
          <t>מיושם ומאושר</t>
        </is>
      </c>
      <c r="J10" s="62" t="inlineStr">
        <is>
          <t>owner_math_batch_approved</t>
        </is>
      </c>
      <c r="K10" s="24" t="str"/>
    </row>
    <row r="11" ht="60" customHeight="1" s="56">
      <c r="A11" s="62" t="inlineStr">
        <is>
          <t>מתמטיקה</t>
        </is>
      </c>
      <c r="B11" s="62" t="inlineStr">
        <is>
          <t>M-10</t>
        </is>
      </c>
      <c r="C11" s="62" t="inlineStr">
        <is>
          <t>finding:taxonomy:M-10</t>
        </is>
      </c>
      <c r="D11" s="62" t="inlineStr">
        <is>
          <t>חילוק — הופכיות</t>
        </is>
      </c>
      <c r="E11" s="62" t="inlineStr">
        <is>
          <t>קושי בקישור בין כפל לחילוק</t>
        </is>
      </c>
      <c r="F11" s="62" t="inlineStr">
        <is>
          <t>בדוח הורים: קושי בקשר חילוק/כפל + הסבר מאושר</t>
        </is>
      </c>
      <c r="G11" s="62" t="inlineStr">
        <is>
          <t>המערכת זיהתה קושי בהבנת הקשר בין חילוק לכפל. כלומר, להשתמש בכפל כדי לבדוק תרגיל חילוק או לבחור את הפעולה המתאימה.</t>
        </is>
      </c>
      <c r="H11" s="62" t="inlineStr">
        <is>
          <t>12 ÷ 3 = 4; 4 × 3 = 12</t>
        </is>
      </c>
      <c r="I11" s="62" t="inlineStr">
        <is>
          <t>מיושם ומאושר</t>
        </is>
      </c>
      <c r="J11" s="62" t="inlineStr">
        <is>
          <t>owner_math_batch_approved</t>
        </is>
      </c>
      <c r="K11" s="62" t="inlineStr">
        <is>
          <t>דוגמת תרגיל חייבת להופיע בשורה נפרדת עם כיוון LTR.</t>
        </is>
      </c>
    </row>
    <row r="12" ht="72" customHeight="1" s="56">
      <c r="A12" s="62" t="inlineStr">
        <is>
          <t>גיאומטריה</t>
        </is>
      </c>
      <c r="B12" s="62" t="inlineStr">
        <is>
          <t>G-01</t>
        </is>
      </c>
      <c r="C12" s="62" t="inlineStr">
        <is>
          <t>finding:taxonomy:G-01</t>
        </is>
      </c>
      <c r="D12" s="62" t="inlineStr">
        <is>
          <t>מרובעים — תכונות מלבן/מקבילית</t>
        </is>
      </c>
      <c r="E12" s="62" t="inlineStr">
        <is>
          <t>בלבול תכונות</t>
        </is>
      </c>
      <c r="F12" s="62" t="inlineStr">
        <is>
          <t>בדוח הורים: תווית הקושי שהמנוע מצא + הסבר מאושר מתחתיה</t>
        </is>
      </c>
      <c r="G12" s="62" t="inlineStr">
        <is>
          <t>המערכת זיהתה קושי בהבחנה בין תכונות של מרובעים. הכוונה היא לדעת אילו צלעות מקבילות, אילו זוויות ישרות, ומה ההבדל בין מלבן, ריבוע ומקבילית.</t>
        </is>
      </c>
      <c r="H12" s="62" t="inlineStr">
        <is>
          <t>מלבן / מקבילית</t>
        </is>
      </c>
      <c r="I12" s="62" t="inlineStr">
        <is>
          <t>מיושם ומאושר</t>
        </is>
      </c>
      <c r="J12" s="62" t="inlineStr">
        <is>
          <t>owner_geometry_batch_approved</t>
        </is>
      </c>
      <c r="K12" s="24" t="str"/>
    </row>
    <row r="13" ht="60" customHeight="1" s="56">
      <c r="A13" s="62" t="inlineStr">
        <is>
          <t>גיאומטריה</t>
        </is>
      </c>
      <c r="B13" s="62" t="inlineStr">
        <is>
          <t>G-02</t>
        </is>
      </c>
      <c r="C13" s="62" t="inlineStr">
        <is>
          <t>finding:taxonomy:G-02</t>
        </is>
      </c>
      <c r="D13" s="62" t="inlineStr">
        <is>
          <t>זוויות — קריאת משקף</t>
        </is>
      </c>
      <c r="E13" s="62" t="inlineStr">
        <is>
          <t>טעות בקריאת זווית במשקף</t>
        </is>
      </c>
      <c r="F13" s="62" t="inlineStr">
        <is>
          <t>בדוח הורים: תווית הקושי שהמנוע מצא + הסבר מאושר מתחתיה</t>
        </is>
      </c>
      <c r="G13" s="62" t="inlineStr">
        <is>
          <t>המערכת זיהתה קושי בקריאת זווית בעזרת משקף. הכוונה היא להצמיד נכון את מרכז המשקף ואת קו האפס, ואז לקרוא את המספר מהסולם המתאים.</t>
        </is>
      </c>
      <c r="H13" s="62" t="inlineStr">
        <is>
          <t>40°</t>
        </is>
      </c>
      <c r="I13" s="62" t="inlineStr">
        <is>
          <t>מיושם ומאושר</t>
        </is>
      </c>
      <c r="J13" s="62" t="inlineStr">
        <is>
          <t>owner_geometry_batch_approved</t>
        </is>
      </c>
      <c r="K13" s="24" t="str"/>
    </row>
    <row r="14" ht="60" customHeight="1" s="56">
      <c r="A14" s="62" t="inlineStr">
        <is>
          <t>גיאומטריה</t>
        </is>
      </c>
      <c r="B14" s="62" t="inlineStr">
        <is>
          <t>G-03</t>
        </is>
      </c>
      <c r="C14" s="62" t="inlineStr">
        <is>
          <t>finding:taxonomy:G-03</t>
        </is>
      </c>
      <c r="D14" s="62" t="inlineStr">
        <is>
          <t>שטח — גובה</t>
        </is>
      </c>
      <c r="E14" s="62" t="inlineStr">
        <is>
          <t>צלעות כגובה</t>
        </is>
      </c>
      <c r="F14" s="62" t="inlineStr">
        <is>
          <t>בדוח הורים: תווית הקושי שהמנוע מצא + הסבר מאושר מתחתיה</t>
        </is>
      </c>
      <c r="G14" s="62" t="inlineStr">
        <is>
          <t>המערכת זיהתה קושי בזיהוי הגובה המתאים לחישוב שטח. בגיאומטריה גובה הוא קו שניצב לבסיס, ולא תמיד הצלע שנראית הכי ארוכה או אלכסונית.</t>
        </is>
      </c>
      <c r="H14" s="62" t="inlineStr">
        <is>
          <t>גובה ⟂ בסיס</t>
        </is>
      </c>
      <c r="I14" s="62" t="inlineStr">
        <is>
          <t>מיושם ומאושר</t>
        </is>
      </c>
      <c r="J14" s="62" t="inlineStr">
        <is>
          <t>owner_geometry_batch_approved</t>
        </is>
      </c>
      <c r="K14" s="24" t="str"/>
    </row>
    <row r="15" ht="60" customHeight="1" s="56">
      <c r="A15" s="62" t="inlineStr">
        <is>
          <t>גיאומטריה</t>
        </is>
      </c>
      <c r="B15" s="62" t="inlineStr">
        <is>
          <t>G-04</t>
        </is>
      </c>
      <c r="C15" s="62" t="inlineStr">
        <is>
          <t>finding:taxonomy:G-04</t>
        </is>
      </c>
      <c r="D15" s="62" t="inlineStr">
        <is>
          <t>סיבוב — כיוון/זווית</t>
        </is>
      </c>
      <c r="E15" s="62" t="inlineStr">
        <is>
          <t>סיבוב הפוך</t>
        </is>
      </c>
      <c r="F15" s="62" t="inlineStr">
        <is>
          <t>בדוח הורים: תווית הקושי שהמנוע מצא + הסבר מאושר מתחתיה</t>
        </is>
      </c>
      <c r="G15" s="62" t="inlineStr">
        <is>
          <t>המערכת זיהתה קושי בזיהוי כיוון הסיבוב או גודל הסיבוב. הכוונה היא להבין אם הצורה מסתובבת עם כיוון השעון או נגדו, ובכמה מעלות.</t>
        </is>
      </c>
      <c r="H15" s="62" t="inlineStr">
        <is>
          <t>90° ימינה</t>
        </is>
      </c>
      <c r="I15" s="62" t="inlineStr">
        <is>
          <t>מיושם ומאושר</t>
        </is>
      </c>
      <c r="J15" s="62" t="inlineStr">
        <is>
          <t>owner_geometry_batch_approved</t>
        </is>
      </c>
      <c r="K15" s="24" t="str"/>
    </row>
    <row r="16" ht="60" customHeight="1" s="56">
      <c r="A16" s="62" t="inlineStr">
        <is>
          <t>גיאומטריה</t>
        </is>
      </c>
      <c r="B16" s="62" t="inlineStr">
        <is>
          <t>G-05</t>
        </is>
      </c>
      <c r="C16" s="62" t="inlineStr">
        <is>
          <t>finding:taxonomy:G-05</t>
        </is>
      </c>
      <c r="D16" s="62" t="inlineStr">
        <is>
          <t>נפח — מודל תלת־ממדי</t>
        </is>
      </c>
      <c r="E16" s="62" t="inlineStr">
        <is>
          <t>שוכח עומק</t>
        </is>
      </c>
      <c r="F16" s="62" t="inlineStr">
        <is>
          <t>בדוח הורים: תווית הקושי שהמנוע מצא + הסבר מאושר מתחתיה</t>
        </is>
      </c>
      <c r="G16" s="62" t="inlineStr">
        <is>
          <t>המערכת זיהתה קושי בהבנת גוף תלת־ממדי. הכוונה היא לראות שלא מדובר רק בציור שטוח, אלא בצורה שיש לה אורך, רוחב וגובה.</t>
        </is>
      </c>
      <c r="H16" s="62" t="inlineStr">
        <is>
          <t>קובייה</t>
        </is>
      </c>
      <c r="I16" s="62" t="inlineStr">
        <is>
          <t>מיושם ומאושר</t>
        </is>
      </c>
      <c r="J16" s="62" t="inlineStr">
        <is>
          <t>owner_geometry_batch_approved</t>
        </is>
      </c>
      <c r="K16" s="24" t="str"/>
    </row>
    <row r="17" ht="60" customHeight="1" s="56">
      <c r="A17" s="62" t="inlineStr">
        <is>
          <t>גיאומטריה</t>
        </is>
      </c>
      <c r="B17" s="62" t="inlineStr">
        <is>
          <t>G-06</t>
        </is>
      </c>
      <c r="C17" s="62" t="inlineStr">
        <is>
          <t>finding:taxonomy:G-06</t>
        </is>
      </c>
      <c r="D17" s="62" t="inlineStr">
        <is>
          <t>היקף — המרת יחידות</t>
        </is>
      </c>
      <c r="E17" s="62" t="inlineStr">
        <is>
          <t>טעות יחידה חוזרת</t>
        </is>
      </c>
      <c r="F17" s="62" t="inlineStr">
        <is>
          <t>בדוח הורים: תווית הקושי שהמנוע מצא + הסבר מאושר מתחתיה</t>
        </is>
      </c>
      <c r="G17" s="62" t="inlineStr">
        <is>
          <t>המערכת זיהתה קושי בהמרת יחידות לפני חישוב היקף או אורך. הכוונה היא לוודא שכל המידות באותה יחידה לפני שמחברים או משווים.</t>
        </is>
      </c>
      <c r="H17" s="62" t="inlineStr">
        <is>
          <t>120 ס״מ = 1.2 מ׳</t>
        </is>
      </c>
      <c r="I17" s="62" t="inlineStr">
        <is>
          <t>מיושם ומאושר</t>
        </is>
      </c>
      <c r="J17" s="62" t="inlineStr">
        <is>
          <t>owner_geometry_batch_approved</t>
        </is>
      </c>
      <c r="K17" s="24" t="str"/>
    </row>
    <row r="18" ht="72" customHeight="1" s="56">
      <c r="A18" s="62" t="inlineStr">
        <is>
          <t>גיאומטריה</t>
        </is>
      </c>
      <c r="B18" s="62" t="inlineStr">
        <is>
          <t>G-07</t>
        </is>
      </c>
      <c r="C18" s="62" t="inlineStr">
        <is>
          <t>finding:taxonomy:G-07</t>
        </is>
      </c>
      <c r="D18" s="62" t="inlineStr">
        <is>
          <t>סימטריה — ציר</t>
        </is>
      </c>
      <c r="E18" s="62" t="inlineStr">
        <is>
          <t>ציר שגוי חוזר</t>
        </is>
      </c>
      <c r="F18" s="62" t="inlineStr">
        <is>
          <t>בדוח הורים: תווית הקושי שהמנוע מצא + הסבר מאושר מתחתיה</t>
        </is>
      </c>
      <c r="G18" s="62" t="inlineStr">
        <is>
          <t>המערכת זיהתה קושי בזיהוי ציר סימטריה. הכוונה היא למצוא קו שמחלק את הצורה לשני חלקים זהים, כך שאפשר לקפל לאורך הקו ושני הצדדים יתאימו.</t>
        </is>
      </c>
      <c r="H18" s="62" t="inlineStr">
        <is>
          <t>קו קיפול באמצע צורה</t>
        </is>
      </c>
      <c r="I18" s="62" t="inlineStr">
        <is>
          <t>מיושם ומאושר</t>
        </is>
      </c>
      <c r="J18" s="62" t="inlineStr">
        <is>
          <t>owner_geometry_batch_approved</t>
        </is>
      </c>
      <c r="K18" s="24" t="str"/>
    </row>
    <row r="19" ht="60" customHeight="1" s="56">
      <c r="A19" s="62" t="inlineStr">
        <is>
          <t>גיאומטריה</t>
        </is>
      </c>
      <c r="B19" s="62" t="inlineStr">
        <is>
          <t>G-08</t>
        </is>
      </c>
      <c r="C19" s="62" t="inlineStr">
        <is>
          <t>finding:taxonomy:G-08</t>
        </is>
      </c>
      <c r="D19" s="62" t="inlineStr">
        <is>
          <t>משולשים — בסיס×גובה÷2</t>
        </is>
      </c>
      <c r="E19" s="62" t="inlineStr">
        <is>
          <t>שוכח ÷2 או גובה שגוי</t>
        </is>
      </c>
      <c r="F19" s="62" t="inlineStr">
        <is>
          <t>בדוח הורים: תווית הקושי שהמנוע מצא + הסבר מאושר מתחתיה</t>
        </is>
      </c>
      <c r="G19" s="62" t="inlineStr">
        <is>
          <t>המערכת זיהתה קושי בחישוב שטח משולש. כדי למצוא שטח משולש משתמשים בבסיס ובגובה המתאים, ואז מחלקים את התוצאה ב־2.</t>
        </is>
      </c>
      <c r="H19" s="62" t="inlineStr">
        <is>
          <t>בסיס 6, גובה 4: 6 × 4 ÷ 2</t>
        </is>
      </c>
      <c r="I19" s="62" t="inlineStr">
        <is>
          <t>מיושם ומאושר</t>
        </is>
      </c>
      <c r="J19" s="62" t="inlineStr">
        <is>
          <t>owner_geometry_batch_approved</t>
        </is>
      </c>
      <c r="K19" s="24" t="str"/>
    </row>
    <row r="20" ht="60" customHeight="1" s="56">
      <c r="A20" s="62" t="inlineStr">
        <is>
          <t>עברית</t>
        </is>
      </c>
      <c r="B20" s="62" t="inlineStr">
        <is>
          <t>H-01</t>
        </is>
      </c>
      <c r="C20" s="62" t="inlineStr">
        <is>
          <t>finding:taxonomy:H-01</t>
        </is>
      </c>
      <c r="D20" s="62" t="inlineStr">
        <is>
          <t>עברית — נרדפת</t>
        </is>
      </c>
      <c r="E20" s="62" t="inlineStr">
        <is>
          <t>מילה קרובה לא נכונה</t>
        </is>
      </c>
      <c r="F20" s="62" t="inlineStr">
        <is>
          <t>בדוח הורים: תווית הקושי שהמנוע מצא + הסבר מאושר מתחתיה</t>
        </is>
      </c>
      <c r="G20" s="62" t="inlineStr">
        <is>
          <t>המערכת זיהתה קושי בבחירת מילה נרדפת שמתאימה להקשר. הכוונה היא לא רק למצוא מילה דומה, אלא לוודא שהיא מתאימה למשמעות המשפט.</t>
        </is>
      </c>
      <c r="H20" s="62" t="inlineStr">
        <is>
          <t>שמח / עליז</t>
        </is>
      </c>
      <c r="I20" s="62" t="inlineStr">
        <is>
          <t>מיושם ומאושר</t>
        </is>
      </c>
      <c r="J20" s="62" t="inlineStr">
        <is>
          <t>owner_hebrew_subject_batch_approved</t>
        </is>
      </c>
      <c r="K20" s="24" t="str"/>
    </row>
    <row r="21" ht="72" customHeight="1" s="56">
      <c r="A21" s="62" t="inlineStr">
        <is>
          <t>עברית</t>
        </is>
      </c>
      <c r="B21" s="62" t="inlineStr">
        <is>
          <t>H-02</t>
        </is>
      </c>
      <c r="C21" s="62" t="inlineStr">
        <is>
          <t>finding:taxonomy:H-02</t>
        </is>
      </c>
      <c r="D21" s="62" t="inlineStr">
        <is>
          <t>דקדוק — מגדר/מספר</t>
        </is>
      </c>
      <c r="E21" s="62" t="inlineStr">
        <is>
          <t>כינוי/שם עצם שגוי</t>
        </is>
      </c>
      <c r="F21" s="62" t="inlineStr">
        <is>
          <t>בדוח הורים: תווית הקושי שהמנוע מצא + הסבר מאושר מתחתיה</t>
        </is>
      </c>
      <c r="G21" s="62" t="inlineStr">
        <is>
          <t>המערכת זיהתה קושי בהתאמה בין מילים במשפט לפי מין ומספר. הכוונה היא לוודא שהשם, התואר או הכינוי מתאימים לזכר או נקבה, וליחיד או רבים.</t>
        </is>
      </c>
      <c r="H21" s="62" t="inlineStr">
        <is>
          <t>ילדה קטנה / ילדים קטנים</t>
        </is>
      </c>
      <c r="I21" s="62" t="inlineStr">
        <is>
          <t>מיושם ומאושר</t>
        </is>
      </c>
      <c r="J21" s="62" t="inlineStr">
        <is>
          <t>owner_hebrew_subject_batch_approved</t>
        </is>
      </c>
      <c r="K21" s="24" t="str"/>
    </row>
    <row r="22" ht="72" customHeight="1" s="56">
      <c r="A22" s="62" t="inlineStr">
        <is>
          <t>עברית</t>
        </is>
      </c>
      <c r="B22" s="62" t="inlineStr">
        <is>
          <t>H-03</t>
        </is>
      </c>
      <c r="C22" s="62" t="inlineStr">
        <is>
          <t>finding:taxonomy:H-03</t>
        </is>
      </c>
      <c r="D22" s="62" t="inlineStr">
        <is>
          <t>כתיב — משפחת כתיב</t>
        </is>
      </c>
      <c r="E22" s="62" t="inlineStr">
        <is>
          <t>אותה משפחה שגויה</t>
        </is>
      </c>
      <c r="F22" s="62" t="inlineStr">
        <is>
          <t>בדוח הורים: תווית הקושי שהמנוע מצא + הסבר מאושר מתחתיה</t>
        </is>
      </c>
      <c r="G22" s="62" t="inlineStr">
        <is>
          <t>המערכת זיהתה קושי בזיהוי משפחת מילים או תבנית כתיב שחוזרת במילים קשורות. הכוונה היא לשים לב לאותיות ולמבנה שחוזרים באותה משפחת מילים.</t>
        </is>
      </c>
      <c r="H22" s="62" t="inlineStr">
        <is>
          <t>כתב / מכתב / כתיבה</t>
        </is>
      </c>
      <c r="I22" s="62" t="inlineStr">
        <is>
          <t>מיושם ומאושר</t>
        </is>
      </c>
      <c r="J22" s="62" t="inlineStr">
        <is>
          <t>owner_hebrew_subject_batch_approved</t>
        </is>
      </c>
      <c r="K22" s="24" t="str"/>
    </row>
    <row r="23" ht="60" customHeight="1" s="56">
      <c r="A23" s="62" t="inlineStr">
        <is>
          <t>עברית</t>
        </is>
      </c>
      <c r="B23" s="62" t="inlineStr">
        <is>
          <t>H-04</t>
        </is>
      </c>
      <c r="C23" s="62" t="inlineStr">
        <is>
          <t>finding:taxonomy:H-04</t>
        </is>
      </c>
      <c r="D23" s="62" t="inlineStr">
        <is>
          <t>הבנת הנקרא — חיפוש</t>
        </is>
      </c>
      <c r="E23" s="62" t="inlineStr">
        <is>
          <t>קריאת השאלה לא הייתה מסודרת</t>
        </is>
      </c>
      <c r="F23" s="62" t="inlineStr">
        <is>
          <t>בדוח הורים: תווית הקושי שהמנוע מצא + הסבר מאושר מתחתיה</t>
        </is>
      </c>
      <c r="G23" s="62" t="inlineStr">
        <is>
          <t>המערכת זיהתה קושי באיתור מידע בתוך טקסט. הכוונה היא למצוא פרט מסוים לפי מילות מפתח, כותרות או רמזים שמופיעים בשאלה ובטקסט.</t>
        </is>
      </c>
      <c r="H23" s="62" t="inlineStr">
        <is>
          <t>מתי קרה? / מי עשה?</t>
        </is>
      </c>
      <c r="I23" s="62" t="inlineStr">
        <is>
          <t>מיושם ומאושר</t>
        </is>
      </c>
      <c r="J23" s="62" t="inlineStr">
        <is>
          <t>owner_hebrew_subject_batch_approved</t>
        </is>
      </c>
      <c r="K23" s="24" t="str"/>
    </row>
    <row r="24" ht="72" customHeight="1" s="56">
      <c r="A24" s="62" t="inlineStr">
        <is>
          <t>עברית</t>
        </is>
      </c>
      <c r="B24" s="62" t="inlineStr">
        <is>
          <t>H-05</t>
        </is>
      </c>
      <c r="C24" s="62" t="inlineStr">
        <is>
          <t>finding:taxonomy:H-05</t>
        </is>
      </c>
      <c r="D24" s="62" t="inlineStr">
        <is>
          <t>עברית — הומופון</t>
        </is>
      </c>
      <c r="E24" s="62" t="inlineStr">
        <is>
          <t>טעות בהומופון</t>
        </is>
      </c>
      <c r="F24" s="62" t="inlineStr">
        <is>
          <t>בדוח הורים: תווית הקושי שהמנוע מצא + הסבר מאושר מתחתיה</t>
        </is>
      </c>
      <c r="G24" s="62" t="inlineStr">
        <is>
          <t>המערכת זיהתה קושי בהבחנה בין מילים שנשמעות דומה או זהה, אבל נכתבות אחרת או בעלות משמעות אחרת. הכוונה היא לבחור את המילה הנכונה לפי ההקשר במשפט.</t>
        </is>
      </c>
      <c r="H24" s="62" t="inlineStr">
        <is>
          <t>אם / עם</t>
        </is>
      </c>
      <c r="I24" s="62" t="inlineStr">
        <is>
          <t>מיושם ומאושר</t>
        </is>
      </c>
      <c r="J24" s="62" t="inlineStr">
        <is>
          <t>owner_hebrew_subject_batch_approved</t>
        </is>
      </c>
      <c r="K24" s="24" t="str"/>
    </row>
    <row r="25" ht="60" customHeight="1" s="56">
      <c r="A25" s="62" t="inlineStr">
        <is>
          <t>עברית</t>
        </is>
      </c>
      <c r="B25" s="62" t="inlineStr">
        <is>
          <t>H-06</t>
        </is>
      </c>
      <c r="C25" s="62" t="inlineStr">
        <is>
          <t>finding:taxonomy:H-06</t>
        </is>
      </c>
      <c r="D25" s="62" t="inlineStr">
        <is>
          <t>עברית — סדר שאלה</t>
        </is>
      </c>
      <c r="E25" s="62" t="inlineStr">
        <is>
          <t>סדר מילים שגוי</t>
        </is>
      </c>
      <c r="F25" s="62" t="inlineStr">
        <is>
          <t>בדוח הורים: תווית הקושי שהמנוע מצא + הסבר מאושר מתחתיה</t>
        </is>
      </c>
      <c r="G25" s="62" t="inlineStr">
        <is>
          <t>המערכת זיהתה קושי בסידור מילים במשפט שאלה. הכוונה היא לבנות שאלה ברורה, עם מילת השאלה, הנושא והפועל במקום מתאים.</t>
        </is>
      </c>
      <c r="H25" s="62" t="inlineStr">
        <is>
          <t>מתי הילד הגיע?</t>
        </is>
      </c>
      <c r="I25" s="62" t="inlineStr">
        <is>
          <t>מיושם ומאושר</t>
        </is>
      </c>
      <c r="J25" s="62" t="inlineStr">
        <is>
          <t>owner_hebrew_subject_batch_approved</t>
        </is>
      </c>
      <c r="K25" s="24" t="str"/>
    </row>
    <row r="26" ht="60" customHeight="1" s="56">
      <c r="A26" s="62" t="inlineStr">
        <is>
          <t>עברית</t>
        </is>
      </c>
      <c r="B26" s="62" t="inlineStr">
        <is>
          <t>H-07</t>
        </is>
      </c>
      <c r="C26" s="62" t="inlineStr">
        <is>
          <t>finding:taxonomy:H-07</t>
        </is>
      </c>
      <c r="D26" s="62" t="inlineStr">
        <is>
          <t>כתיבה — חיבור משפטים</t>
        </is>
      </c>
      <c r="E26" s="62" t="inlineStr">
        <is>
          <t>משפטים לא מחוברים</t>
        </is>
      </c>
      <c r="F26" s="62" t="inlineStr">
        <is>
          <t>בדוח הורים: תווית הקושי שהמנוע מצא + הסבר מאושר מתחתיה</t>
        </is>
      </c>
      <c r="G26" s="62" t="inlineStr">
        <is>
          <t>המערכת זיהתה קושי בחיבור משפטים לרצף ברור. הכוונה היא להשתמש במילות קישור כדי להסביר קשר של הוספה, ניגוד, סיבה או תוצאה.</t>
        </is>
      </c>
      <c r="H26" s="62" t="inlineStr">
        <is>
          <t>אבל / לכן / בנוסף</t>
        </is>
      </c>
      <c r="I26" s="62" t="inlineStr">
        <is>
          <t>מיושם ומאושר</t>
        </is>
      </c>
      <c r="J26" s="62" t="inlineStr">
        <is>
          <t>owner_hebrew_subject_batch_approved</t>
        </is>
      </c>
      <c r="K26" s="24" t="str"/>
    </row>
    <row r="27" ht="60" customHeight="1" s="56">
      <c r="A27" s="62" t="inlineStr">
        <is>
          <t>עברית</t>
        </is>
      </c>
      <c r="B27" s="62" t="inlineStr">
        <is>
          <t>H-08</t>
        </is>
      </c>
      <c r="C27" s="62" t="inlineStr">
        <is>
          <t>finding:taxonomy:H-08</t>
        </is>
      </c>
      <c r="D27" s="62" t="inlineStr">
        <is>
          <t>עברית — פורמליות</t>
        </is>
      </c>
      <c r="E27" s="62" t="inlineStr">
        <is>
          <t>רמת לשון לא מתאימה</t>
        </is>
      </c>
      <c r="F27" s="62" t="inlineStr">
        <is>
          <t>בדוח הורים: תווית הקושי שהמנוע מצא + הסבר מאושר מתחתיה</t>
        </is>
      </c>
      <c r="G27" s="62" t="inlineStr">
        <is>
          <t>המערכת זיהתה קושי בהתאמת רמת הלשון למצב. הכוונה היא לבחור ניסוח שמתאים למטרה: שיחה יומיומית, תשובה לימודית או פנייה רשמית.</t>
        </is>
      </c>
      <c r="H27" s="62" t="inlineStr">
        <is>
          <t>אפשר לקבל עזרה? / תביא לי</t>
        </is>
      </c>
      <c r="I27" s="62" t="inlineStr">
        <is>
          <t>מיושם ומאושר</t>
        </is>
      </c>
      <c r="J27" s="62" t="inlineStr">
        <is>
          <t>owner_hebrew_subject_batch_approved</t>
        </is>
      </c>
      <c r="K27" s="24" t="str"/>
    </row>
    <row r="28" ht="72" customHeight="1" s="56">
      <c r="A28" s="62" t="inlineStr">
        <is>
          <t>אנגלית</t>
        </is>
      </c>
      <c r="B28" s="62" t="inlineStr">
        <is>
          <t>E-01</t>
        </is>
      </c>
      <c r="C28" s="62" t="inlineStr">
        <is>
          <t>finding:taxonomy:E-01</t>
        </is>
      </c>
      <c r="D28" s="62" t="inlineStr">
        <is>
          <t>אנגלית — collocation</t>
        </is>
      </c>
      <c r="E28" s="62" t="inlineStr">
        <is>
          <t>תרגום מילולי שגוי</t>
        </is>
      </c>
      <c r="F28" s="62" t="inlineStr">
        <is>
          <t>בדוח הורים: התווית המקצועית/דפוס הקושי + הסבר מאושר מתחתיה</t>
        </is>
      </c>
      <c r="G28" s="62" t="inlineStr">
        <is>
          <t>המערכת זיהתה קושי בשימוש בצירופי מילים טבעיים באנגלית. הכוונה היא שיש מילים שבאנגלית רגילים לומר יחד, ולא תמיד אפשר לתרגם מילה במילה מעברית.</t>
        </is>
      </c>
      <c r="H28" s="62" t="inlineStr">
        <is>
          <t>make a decision</t>
        </is>
      </c>
      <c r="I28" s="62" t="inlineStr">
        <is>
          <t>מיושם ומאושר</t>
        </is>
      </c>
      <c r="J28" s="62" t="inlineStr">
        <is>
          <t>owner_english_subject_batch_approved</t>
        </is>
      </c>
      <c r="K28" s="62" t="inlineStr">
        <is>
          <t>תוויות מקצועיות באנגלית אינן מוחלפות; רק מוסיפים הסבר בעברית.</t>
        </is>
      </c>
    </row>
    <row r="29" ht="72" customHeight="1" s="56">
      <c r="A29" s="62" t="inlineStr">
        <is>
          <t>אנגלית</t>
        </is>
      </c>
      <c r="B29" s="62" t="inlineStr">
        <is>
          <t>E-02</t>
        </is>
      </c>
      <c r="C29" s="62" t="inlineStr">
        <is>
          <t>finding:taxonomy:E-02</t>
        </is>
      </c>
      <c r="D29" s="62" t="inlineStr">
        <is>
          <t>אנגלית — סממן זמן</t>
        </is>
      </c>
      <c r="E29" s="62" t="inlineStr">
        <is>
          <t>past/present או בחירת זמן לא מתאימה</t>
        </is>
      </c>
      <c r="F29" s="62" t="inlineStr">
        <is>
          <t>בדוח הורים: התווית המקצועית/דפוס הקושי + הסבר מאושר מתחתיה</t>
        </is>
      </c>
      <c r="G29" s="62" t="inlineStr">
        <is>
          <t>המערכת זיהתה קושי בזיהוי רמזים שמראים באיזה זמן המשפט כתוב. הכוונה היא לשים לב למילים שמראות אם מדובר בעבר, בהווה או בעתיד, ואז לבחור את צורת הפועל המתאימה.</t>
        </is>
      </c>
      <c r="H29" s="62" t="inlineStr">
        <is>
          <t>yesterday / now / tomorrow</t>
        </is>
      </c>
      <c r="I29" s="62" t="inlineStr">
        <is>
          <t>מיושם ומאושר</t>
        </is>
      </c>
      <c r="J29" s="62" t="inlineStr">
        <is>
          <t>owner_english_subject_batch_approved</t>
        </is>
      </c>
      <c r="K29" s="62" t="inlineStr">
        <is>
          <t>תוויות מקצועיות באנגלית אינן מוחלפות; רק מוסיפים הסבר בעברית.</t>
        </is>
      </c>
    </row>
    <row r="30" ht="72" customHeight="1" s="56">
      <c r="A30" s="62" t="inlineStr">
        <is>
          <t>אנגלית</t>
        </is>
      </c>
      <c r="B30" s="62" t="inlineStr">
        <is>
          <t>E-03</t>
        </is>
      </c>
      <c r="C30" s="62" t="inlineStr">
        <is>
          <t>finding:taxonomy:E-03</t>
        </is>
      </c>
      <c r="D30" s="62" t="inlineStr">
        <is>
          <t>אנגלית — מעקב שורות</t>
        </is>
      </c>
      <c r="E30" s="62" t="inlineStr">
        <is>
          <t>טעות במעקב אחרי השורה הנכונה</t>
        </is>
      </c>
      <c r="F30" s="62" t="inlineStr">
        <is>
          <t>בדוח הורים: התווית המקצועית/דפוס הקושי + הסבר מאושר מתחתיה</t>
        </is>
      </c>
      <c r="G30" s="62" t="inlineStr">
        <is>
          <t>המערכת זיהתה קושי במעקב אחרי המקום הנכון בטקסט באנגלית. הכוונה היא לקרוא לפי הסדר, לא לדלג שורה, ולחזור לשורה המתאימה כשמחפשים תשובה.</t>
        </is>
      </c>
      <c r="H30" s="62" t="inlineStr">
        <is>
          <t>line 3</t>
        </is>
      </c>
      <c r="I30" s="62" t="inlineStr">
        <is>
          <t>מיושם ומאושר</t>
        </is>
      </c>
      <c r="J30" s="62" t="inlineStr">
        <is>
          <t>owner_english_subject_batch_approved</t>
        </is>
      </c>
      <c r="K30" s="62" t="inlineStr">
        <is>
          <t>תוויות מקצועיות באנגלית אינן מוחלפות; רק מוסיפים הסבר בעברית.</t>
        </is>
      </c>
    </row>
    <row r="31" ht="72" customHeight="1" s="56">
      <c r="A31" s="62" t="inlineStr">
        <is>
          <t>אנגלית</t>
        </is>
      </c>
      <c r="B31" s="62" t="inlineStr">
        <is>
          <t>E-04</t>
        </is>
      </c>
      <c r="C31" s="62" t="inlineStr">
        <is>
          <t>finding:taxonomy:E-04</t>
        </is>
      </c>
      <c r="D31" s="62" t="inlineStr">
        <is>
          <t>אנגלית — כינוי לנושא</t>
        </is>
      </c>
      <c r="E31" s="62" t="inlineStr">
        <is>
          <t>he/she/it</t>
        </is>
      </c>
      <c r="F31" s="62" t="inlineStr">
        <is>
          <t>בדוח הורים: התווית המקצועית/דפוס הקושי + הסבר מאושר מתחתיה</t>
        </is>
      </c>
      <c r="G31" s="62" t="inlineStr">
        <is>
          <t>המערכת זיהתה קושי בבחירת כינוי הגוף המתאים לנושא המשפט באנגלית. הכוונה היא לבחור נכון בין כינויים כמו הוא, היא או זה לפי מי או מה שמדברים עליו.</t>
        </is>
      </c>
      <c r="H31" s="62" t="inlineStr">
        <is>
          <t>he / she / it</t>
        </is>
      </c>
      <c r="I31" s="62" t="inlineStr">
        <is>
          <t>מיושם ומאושר</t>
        </is>
      </c>
      <c r="J31" s="62" t="inlineStr">
        <is>
          <t>owner_english_subject_batch_approved</t>
        </is>
      </c>
      <c r="K31" s="62" t="inlineStr">
        <is>
          <t>תוויות מקצועיות באנגלית אינן מוחלפות; רק מוסיפים הסבר בעברית.</t>
        </is>
      </c>
    </row>
    <row r="32" ht="72" customHeight="1" s="56">
      <c r="A32" s="62" t="inlineStr">
        <is>
          <t>אנגלית</t>
        </is>
      </c>
      <c r="B32" s="62" t="inlineStr">
        <is>
          <t>E-05</t>
        </is>
      </c>
      <c r="C32" s="62" t="inlineStr">
        <is>
          <t>finding:taxonomy:E-05</t>
        </is>
      </c>
      <c r="D32" s="62" t="inlineStr">
        <is>
          <t>אנגלית — preposition</t>
        </is>
      </c>
      <c r="E32" s="62" t="inlineStr">
        <is>
          <t>מילת יחס שגויה</t>
        </is>
      </c>
      <c r="F32" s="62" t="inlineStr">
        <is>
          <t>בדוח הורים: התווית המקצועית/דפוס הקושי + הסבר מאושר מתחתיה</t>
        </is>
      </c>
      <c r="G32" s="62" t="inlineStr">
        <is>
          <t>המערכת זיהתה קושי בשימוש במילות יחס באנגלית. אלו מילים קצרות שמראות קשר של מקום, זמן או כיוון, ולעיתים הן לא מתורגמות ישירות מעברית.</t>
        </is>
      </c>
      <c r="H32" s="62" t="inlineStr">
        <is>
          <t>in / on / at</t>
        </is>
      </c>
      <c r="I32" s="62" t="inlineStr">
        <is>
          <t>מיושם ומאושר</t>
        </is>
      </c>
      <c r="J32" s="62" t="inlineStr">
        <is>
          <t>owner_english_subject_batch_approved</t>
        </is>
      </c>
      <c r="K32" s="62" t="inlineStr">
        <is>
          <t>תוויות מקצועיות באנגלית אינן מוחלפות; רק מוסיפים הסבר בעברית.</t>
        </is>
      </c>
    </row>
    <row r="33" ht="60" customHeight="1" s="56">
      <c r="A33" s="62" t="inlineStr">
        <is>
          <t>אנגלית</t>
        </is>
      </c>
      <c r="B33" s="62" t="inlineStr">
        <is>
          <t>E-06</t>
        </is>
      </c>
      <c r="C33" s="62" t="inlineStr">
        <is>
          <t>finding:taxonomy:E-06</t>
        </is>
      </c>
      <c r="D33" s="62" t="inlineStr">
        <is>
          <t>אנגלית — inference</t>
        </is>
      </c>
      <c r="E33" s="62" t="inlineStr">
        <is>
          <t>קושי בהבנת משמעות משתמעת</t>
        </is>
      </c>
      <c r="F33" s="62" t="inlineStr">
        <is>
          <t>בדוח הורים: התווית המקצועית/דפוס הקושי + הסבר מאושר מתחתיה</t>
        </is>
      </c>
      <c r="G33" s="62" t="inlineStr">
        <is>
          <t>המערכת זיהתה קושי בהבנת מסקנה מתוך טקסט באנגלית. הכוונה היא להבין דבר שלא כתוב במפורש, אלא משתמע מתוך המשפטים והרמזים בטקסט.</t>
        </is>
      </c>
      <c r="H33" s="62" t="inlineStr">
        <is>
          <t>The room is dark, so she turns on the light.</t>
        </is>
      </c>
      <c r="I33" s="62" t="inlineStr">
        <is>
          <t>מיושם ומאושר</t>
        </is>
      </c>
      <c r="J33" s="62" t="inlineStr">
        <is>
          <t>owner_english_subject_batch_approved</t>
        </is>
      </c>
      <c r="K33" s="62" t="inlineStr">
        <is>
          <t>תוויות מקצועיות באנגלית אינן מוחלפות; רק מוסיפים הסבר בעברית.</t>
        </is>
      </c>
    </row>
    <row r="34" ht="72" customHeight="1" s="56">
      <c r="A34" s="62" t="inlineStr">
        <is>
          <t>אנגלית</t>
        </is>
      </c>
      <c r="B34" s="62" t="inlineStr">
        <is>
          <t>E-07</t>
        </is>
      </c>
      <c r="C34" s="62" t="inlineStr">
        <is>
          <t>finding:taxonomy:E-07</t>
        </is>
      </c>
      <c r="D34" s="62" t="inlineStr">
        <is>
          <t>אנגלית — תבניות שקטות</t>
        </is>
      </c>
      <c r="E34" s="62" t="inlineStr">
        <is>
          <t>שגיאות חוזרות באיות/צליל</t>
        </is>
      </c>
      <c r="F34" s="62" t="inlineStr">
        <is>
          <t>בדוח הורים: התווית המקצועית/דפוס הקושי + הסבר מאושר מתחתיה</t>
        </is>
      </c>
      <c r="G34" s="62" t="inlineStr">
        <is>
          <t>המערכת זיהתה קושי בזיהוי אותיות או תבניות כתיב באנגלית שלא תמיד שומעים בהגייה. הכוונה היא לשים לב לכך שלא כל אות במילה נשמעת כמו שהיא נכתבת.</t>
        </is>
      </c>
      <c r="H34" s="62" t="inlineStr">
        <is>
          <t>knight / night</t>
        </is>
      </c>
      <c r="I34" s="62" t="inlineStr">
        <is>
          <t>מיושם ומאושר</t>
        </is>
      </c>
      <c r="J34" s="62" t="inlineStr">
        <is>
          <t>owner_english_subject_batch_approved</t>
        </is>
      </c>
      <c r="K34" s="62" t="inlineStr">
        <is>
          <t>תוויות מקצועיות באנגלית אינן מוחלפות; רק מוסיפים הסבר בעברית.</t>
        </is>
      </c>
    </row>
    <row r="35" ht="72" customHeight="1" s="56">
      <c r="A35" s="62" t="inlineStr">
        <is>
          <t>אנגלית</t>
        </is>
      </c>
      <c r="B35" s="62" t="inlineStr">
        <is>
          <t>E-08</t>
        </is>
      </c>
      <c r="C35" s="62" t="inlineStr">
        <is>
          <t>finding:taxonomy:E-08</t>
        </is>
      </c>
      <c r="D35" s="62" t="inlineStr">
        <is>
          <t>אנגלית — minimal pairs</t>
        </is>
      </c>
      <c r="E35" s="62" t="inlineStr">
        <is>
          <t>בלבול צמד צלילים</t>
        </is>
      </c>
      <c r="F35" s="62" t="inlineStr">
        <is>
          <t>בדוח הורים: התווית המקצועית/דפוס הקושי + הסבר מאושר מתחתיה</t>
        </is>
      </c>
      <c r="G35" s="62" t="inlineStr">
        <is>
          <t>המערכת זיהתה קושי בהבחנה בין מילים באנגלית שנשמעות כמעט אותו דבר, אבל שונות בצליל קטן ובמשמעות. הכוונה היא להקשיב להבדל המדויק בין הצלילים.</t>
        </is>
      </c>
      <c r="H35" s="62" t="inlineStr">
        <is>
          <t>ship / sheep</t>
        </is>
      </c>
      <c r="I35" s="62" t="inlineStr">
        <is>
          <t>מיושם ומאושר</t>
        </is>
      </c>
      <c r="J35" s="62" t="inlineStr">
        <is>
          <t>owner_english_subject_batch_approved</t>
        </is>
      </c>
      <c r="K35" s="62" t="inlineStr">
        <is>
          <t>תוויות מקצועיות באנגלית אינן מוחלפות; רק מוסיפים הסבר בעברית.</t>
        </is>
      </c>
    </row>
    <row r="36" ht="72" customHeight="1" s="56">
      <c r="A36" s="62" t="inlineStr">
        <is>
          <t>מדעים</t>
        </is>
      </c>
      <c r="B36" s="62" t="inlineStr">
        <is>
          <t>S-01</t>
        </is>
      </c>
      <c r="C36" s="62" t="inlineStr">
        <is>
          <t>finding:taxonomy:S-01</t>
        </is>
      </c>
      <c r="D36" s="62" t="inlineStr">
        <is>
          <t>מדעים — תכונה מול תהליך</t>
        </is>
      </c>
      <c r="E36" s="62" t="inlineStr">
        <is>
          <t>בלבול קטגוריה</t>
        </is>
      </c>
      <c r="F36" s="62" t="inlineStr">
        <is>
          <t>בדוח הורים: תווית הקושי שהמנוע מצא + הסבר מאושר מתחתיה</t>
        </is>
      </c>
      <c r="G36" s="62" t="inlineStr">
        <is>
          <t>המערכת זיהתה קושי בהבחנה בין תכונה של דבר לבין תהליך שקורה לו. תכונה מתארת מה מאפיין חומר, גוף או יצור, ותהליך מתאר שינוי או פעולה שמתרחשים לאורך זמן.</t>
        </is>
      </c>
      <c r="H36" s="62" t="inlineStr">
        <is>
          <t>צבע הוא תכונה; התכה היא תהליך</t>
        </is>
      </c>
      <c r="I36" s="62" t="inlineStr">
        <is>
          <t>מיושם ומאושר</t>
        </is>
      </c>
      <c r="J36" s="62" t="inlineStr">
        <is>
          <t>owner_science_subject_batch_approved</t>
        </is>
      </c>
      <c r="K36" s="24" t="str"/>
    </row>
    <row r="37" ht="72" customHeight="1" s="56">
      <c r="A37" s="62" t="inlineStr">
        <is>
          <t>מדעים</t>
        </is>
      </c>
      <c r="B37" s="62" t="inlineStr">
        <is>
          <t>S-02</t>
        </is>
      </c>
      <c r="C37" s="62" t="inlineStr">
        <is>
          <t>finding:taxonomy:S-02</t>
        </is>
      </c>
      <c r="D37" s="62" t="inlineStr">
        <is>
          <t>מדעים — משתנה מבודד</t>
        </is>
      </c>
      <c r="E37" s="62" t="inlineStr">
        <is>
          <t>שינוי כמה גורמים בניסוי</t>
        </is>
      </c>
      <c r="F37" s="62" t="inlineStr">
        <is>
          <t>בדוח הורים: תווית הקושי שהמנוע מצא + הסבר מאושר מתחתיה</t>
        </is>
      </c>
      <c r="G37" s="62" t="inlineStr">
        <is>
          <t>המערכת זיהתה קושי בהבנת ניסוי שבו משנים רק גורם אחד בכל פעם. הכוונה היא להשאיר את שאר התנאים קבועים, כדי לדעת מה באמת השפיע על התוצאה.</t>
        </is>
      </c>
      <c r="H37" s="62" t="inlineStr">
        <is>
          <t>משנים רק את כמות האור</t>
        </is>
      </c>
      <c r="I37" s="62" t="inlineStr">
        <is>
          <t>מיושם ומאושר</t>
        </is>
      </c>
      <c r="J37" s="62" t="inlineStr">
        <is>
          <t>owner_science_subject_batch_approved</t>
        </is>
      </c>
      <c r="K37" s="24" t="str"/>
    </row>
    <row r="38" ht="72" customHeight="1" s="56">
      <c r="A38" s="62" t="inlineStr">
        <is>
          <t>מדעים</t>
        </is>
      </c>
      <c r="B38" s="62" t="inlineStr">
        <is>
          <t>S-03</t>
        </is>
      </c>
      <c r="C38" s="62" t="inlineStr">
        <is>
          <t>finding:taxonomy:S-03</t>
        </is>
      </c>
      <c r="D38" s="62" t="inlineStr">
        <is>
          <t>מדעים — מיקום/זרימה</t>
        </is>
      </c>
      <c r="E38" s="62" t="inlineStr">
        <is>
          <t>סדר/מיקום שגוי</t>
        </is>
      </c>
      <c r="F38" s="62" t="inlineStr">
        <is>
          <t>בדוח הורים: תווית הקושי שהמנוע מצא + הסבר מאושר מתחתיה</t>
        </is>
      </c>
      <c r="G38" s="62" t="inlineStr">
        <is>
          <t>המערכת זיהתה קושי בהבנת מיקום או סדר זרימה בתוך מערכת. הכוונה היא לדעת איפה נמצא כל חלק ומה הסדר שבו חומר, מידע או פעולה עוברים ממקום למקום.</t>
        </is>
      </c>
      <c r="H38" s="62" t="inlineStr">
        <is>
          <t>לב → כלי דם</t>
        </is>
      </c>
      <c r="I38" s="62" t="inlineStr">
        <is>
          <t>מיושם ומאושר</t>
        </is>
      </c>
      <c r="J38" s="62" t="inlineStr">
        <is>
          <t>owner_science_subject_batch_approved</t>
        </is>
      </c>
      <c r="K38" s="24" t="str"/>
    </row>
    <row r="39" ht="60" customHeight="1" s="56">
      <c r="A39" s="62" t="inlineStr">
        <is>
          <t>מדעים</t>
        </is>
      </c>
      <c r="B39" s="62" t="inlineStr">
        <is>
          <t>S-04</t>
        </is>
      </c>
      <c r="C39" s="62" t="inlineStr">
        <is>
          <t>finding:taxonomy:S-04</t>
        </is>
      </c>
      <c r="D39" s="62" t="inlineStr">
        <is>
          <t>מדעים — שימור מסה</t>
        </is>
      </c>
      <c r="E39" s="62" t="inlineStr">
        <is>
          <t>חומר נעלם בלי שימור</t>
        </is>
      </c>
      <c r="F39" s="62" t="inlineStr">
        <is>
          <t>בדוח הורים: תווית הקושי שהמנוע מצא + הסבר מאושר מתחתיה</t>
        </is>
      </c>
      <c r="G39" s="62" t="inlineStr">
        <is>
          <t>המערכת זיהתה קושי בהבנה שחומר לא נעלם כאשר הוא משתנה. במקרים רבים החומר משנה צורה, מצב או מקום, אבל הכמות הכוללת שלו נשמרת.</t>
        </is>
      </c>
      <c r="H39" s="62" t="inlineStr">
        <is>
          <t>קרח → מים</t>
        </is>
      </c>
      <c r="I39" s="62" t="inlineStr">
        <is>
          <t>מיושם ומאושר</t>
        </is>
      </c>
      <c r="J39" s="62" t="inlineStr">
        <is>
          <t>owner_science_subject_batch_approved</t>
        </is>
      </c>
      <c r="K39" s="24" t="str"/>
    </row>
    <row r="40" ht="72" customHeight="1" s="56">
      <c r="A40" s="62" t="inlineStr">
        <is>
          <t>מדעים</t>
        </is>
      </c>
      <c r="B40" s="62" t="inlineStr">
        <is>
          <t>S-05</t>
        </is>
      </c>
      <c r="C40" s="62" t="inlineStr">
        <is>
          <t>finding:taxonomy:S-05</t>
        </is>
      </c>
      <c r="D40" s="62" t="inlineStr">
        <is>
          <t>מדעים — המרת יחידות</t>
        </is>
      </c>
      <c r="E40" s="62" t="inlineStr">
        <is>
          <t>בלבול יחידות</t>
        </is>
      </c>
      <c r="F40" s="62" t="inlineStr">
        <is>
          <t>בדוח הורים: תווית הקושי שהמנוע מצא + הסבר מאושר מתחתיה</t>
        </is>
      </c>
      <c r="G40" s="62" t="inlineStr">
        <is>
          <t>המערכת זיהתה קושי בשימוש נכון ביחידות מדידה ובהמרה ביניהן. הכוונה היא לבדוק אם מודדים אורך, מסה, זמן או נפח, ולהשתמש ביחידה המתאימה.</t>
        </is>
      </c>
      <c r="H40" s="62" t="inlineStr">
        <is>
          <t>1000 גרם = 1 ק״ג</t>
        </is>
      </c>
      <c r="I40" s="62" t="inlineStr">
        <is>
          <t>מיושם ומאושר</t>
        </is>
      </c>
      <c r="J40" s="62" t="inlineStr">
        <is>
          <t>owner_science_subject_batch_approved</t>
        </is>
      </c>
      <c r="K40" s="24" t="str"/>
    </row>
    <row r="41" ht="60" customHeight="1" s="56">
      <c r="A41" s="62" t="inlineStr">
        <is>
          <t>מדעים</t>
        </is>
      </c>
      <c r="B41" s="62" t="inlineStr">
        <is>
          <t>S-06</t>
        </is>
      </c>
      <c r="C41" s="62" t="inlineStr">
        <is>
          <t>finding:taxonomy:S-06</t>
        </is>
      </c>
      <c r="D41" s="62" t="inlineStr">
        <is>
          <t>מדעים — קריאת ציר</t>
        </is>
      </c>
      <c r="E41" s="62" t="inlineStr">
        <is>
          <t>טעות בערך מגרף</t>
        </is>
      </c>
      <c r="F41" s="62" t="inlineStr">
        <is>
          <t>בדוח הורים: תווית הקושי שהמנוע מצא + הסבר מאושר מתחתיה</t>
        </is>
      </c>
      <c r="G41" s="62" t="inlineStr">
        <is>
          <t>המערכת זיהתה קושי בקריאת ערכים מתוך גרף. הכוונה היא להבין מה כל ציר מייצג, למצוא את הנקודה המתאימה, ולקרוא ממנה את הערך הנכון.</t>
        </is>
      </c>
      <c r="H41" s="62" t="inlineStr">
        <is>
          <t>ציר X / ציר Y</t>
        </is>
      </c>
      <c r="I41" s="62" t="inlineStr">
        <is>
          <t>מיושם ומאושר</t>
        </is>
      </c>
      <c r="J41" s="62" t="inlineStr">
        <is>
          <t>owner_science_subject_batch_approved</t>
        </is>
      </c>
      <c r="K41" s="24" t="str"/>
    </row>
    <row r="42" ht="60" customHeight="1" s="56">
      <c r="A42" s="62" t="inlineStr">
        <is>
          <t>מדעים</t>
        </is>
      </c>
      <c r="B42" s="62" t="inlineStr">
        <is>
          <t>S-07</t>
        </is>
      </c>
      <c r="C42" s="62" t="inlineStr">
        <is>
          <t>finding:taxonomy:S-07</t>
        </is>
      </c>
      <c r="D42" s="62" t="inlineStr">
        <is>
          <t>מדעים — רשת מזון</t>
        </is>
      </c>
      <c r="E42" s="62" t="inlineStr">
        <is>
          <t>רמה שגויה חוזרת</t>
        </is>
      </c>
      <c r="F42" s="62" t="inlineStr">
        <is>
          <t>בדוח הורים: תווית הקושי שהמנוע מצא + הסבר מאושר מתחתיה</t>
        </is>
      </c>
      <c r="G42" s="62" t="inlineStr">
        <is>
          <t>המערכת זיהתה קושי בהבנת קשרי אכילה והעברת אנרגיה בטבע. הכוונה היא לזהות מי אוכל את מי, ומה התפקיד של כל יצור במערכת.</t>
        </is>
      </c>
      <c r="H42" s="62" t="inlineStr">
        <is>
          <t>צמח → ארנב → שועל</t>
        </is>
      </c>
      <c r="I42" s="62" t="inlineStr">
        <is>
          <t>מיושם ומאושר</t>
        </is>
      </c>
      <c r="J42" s="62" t="inlineStr">
        <is>
          <t>owner_science_subject_batch_approved</t>
        </is>
      </c>
      <c r="K42" s="24" t="str"/>
    </row>
    <row r="43" ht="72" customHeight="1" s="56">
      <c r="A43" s="62" t="inlineStr">
        <is>
          <t>מדעים</t>
        </is>
      </c>
      <c r="B43" s="62" t="inlineStr">
        <is>
          <t>S-08</t>
        </is>
      </c>
      <c r="C43" s="62" t="inlineStr">
        <is>
          <t>finding:taxonomy:S-08</t>
        </is>
      </c>
      <c r="D43" s="62" t="inlineStr">
        <is>
          <t>מדעים — מקור לטענה</t>
        </is>
      </c>
      <c r="E43" s="62" t="inlineStr">
        <is>
          <t>טענה לא מבוססת</t>
        </is>
      </c>
      <c r="F43" s="62" t="inlineStr">
        <is>
          <t>בדוח הורים: תווית הקושי שהמנוע מצא + הסבר מאושר מתחתיה</t>
        </is>
      </c>
      <c r="G43" s="62" t="inlineStr">
        <is>
          <t>המערכת זיהתה קושי בביסוס תשובה על מקור מידע. הכוונה היא לא להסתפק בתחושה או ניחוש, אלא למצוא בטקסט, בתצפית או בנתונים מה תומך בטענה.</t>
        </is>
      </c>
      <c r="H43" s="62" t="inlineStr">
        <is>
          <t>לפי הטקסט / לפי התצפית</t>
        </is>
      </c>
      <c r="I43" s="62" t="inlineStr">
        <is>
          <t>מיושם ומאושר</t>
        </is>
      </c>
      <c r="J43" s="62" t="inlineStr">
        <is>
          <t>owner_science_subject_batch_approved</t>
        </is>
      </c>
      <c r="K43" s="24" t="str"/>
    </row>
    <row r="44" ht="60" customHeight="1" s="56">
      <c r="A44" s="62" t="inlineStr">
        <is>
          <t>מולדת/גאוגרפיה</t>
        </is>
      </c>
      <c r="B44" s="62" t="inlineStr">
        <is>
          <t>MG-01</t>
        </is>
      </c>
      <c r="C44" s="62" t="inlineStr">
        <is>
          <t>finding:taxonomy:MG-01</t>
        </is>
      </c>
      <c r="D44" s="62" t="inlineStr">
        <is>
          <t>מפות — סולם</t>
        </is>
      </c>
      <c r="E44" s="62" t="inlineStr">
        <is>
          <t>מרחקים יחסיים שגויים</t>
        </is>
      </c>
      <c r="F44" s="62" t="inlineStr">
        <is>
          <t>בדוח הורים: תווית הקושי שהמנוע מצא + הסבר מאושר מתחתיה</t>
        </is>
      </c>
      <c r="G44" s="62" t="inlineStr">
        <is>
          <t>המערכת זיהתה קושי בהבנת סולם במפה. הכוונה היא להבין איך מרחק קטן במפה מייצג מרחק גדול יותר במציאות.</t>
        </is>
      </c>
      <c r="H44" s="62" t="inlineStr">
        <is>
          <t>1 ס״מ במפה = 1 ק״מ במציאות</t>
        </is>
      </c>
      <c r="I44" s="62" t="inlineStr">
        <is>
          <t>מיושם ומאושר</t>
        </is>
      </c>
      <c r="J44" s="62" t="inlineStr">
        <is>
          <t>owner_moledet_geography_batch_approved</t>
        </is>
      </c>
      <c r="K44" s="62" t="inlineStr">
        <is>
          <t>האצווה הושלמה; התווית המקצועית נשארת וההסבר מופיע רק אם האבחון הזה אובחן.</t>
        </is>
      </c>
    </row>
    <row r="45" ht="72" customHeight="1" s="56">
      <c r="A45" s="62" t="inlineStr">
        <is>
          <t>מולדת/גאוגרפיה</t>
        </is>
      </c>
      <c r="B45" s="62" t="inlineStr">
        <is>
          <t>MG-02</t>
        </is>
      </c>
      <c r="C45" s="62" t="inlineStr">
        <is>
          <t>finding:taxonomy:MG-02</t>
        </is>
      </c>
      <c r="D45" s="62" t="inlineStr">
        <is>
          <t>כיוון — צפון מוחלט</t>
        </is>
      </c>
      <c r="E45" s="62" t="inlineStr">
        <is>
          <t>בלבול כשהמפה מוטה</t>
        </is>
      </c>
      <c r="F45" s="62" t="inlineStr">
        <is>
          <t>בדוח הורים: תווית הקושי שהמנוע מצא + הסבר מאושר מתחתיה</t>
        </is>
      </c>
      <c r="G45" s="62" t="inlineStr">
        <is>
          <t>המערכת זיהתה קושי בזיהוי כיוון צפון במפה. הכוונה היא להשתמש בחץ הצפון או בסימון הכיוונים, גם כשהמפה מסובבת או לא מוצגת כמו שרגילים לראות.</t>
        </is>
      </c>
      <c r="H45" s="62" t="inlineStr">
        <is>
          <t>חץ צפון במפה</t>
        </is>
      </c>
      <c r="I45" s="62" t="inlineStr">
        <is>
          <t>מיושם ומאושר</t>
        </is>
      </c>
      <c r="J45" s="62" t="inlineStr">
        <is>
          <t>owner_moledet_geography_batch_approved</t>
        </is>
      </c>
      <c r="K45" s="62" t="inlineStr">
        <is>
          <t>האצווה הושלמה; התווית המקצועית נשארת וההסבר מופיע רק אם האבחון הזה אובחן.</t>
        </is>
      </c>
    </row>
    <row r="46" ht="60" customHeight="1" s="56">
      <c r="A46" s="62" t="inlineStr">
        <is>
          <t>מולדת/גאוגרפיה</t>
        </is>
      </c>
      <c r="B46" s="62" t="inlineStr">
        <is>
          <t>MG-03</t>
        </is>
      </c>
      <c r="C46" s="62" t="inlineStr">
        <is>
          <t>finding:taxonomy:MG-03</t>
        </is>
      </c>
      <c r="D46" s="62" t="inlineStr">
        <is>
          <t>אזרחות — זכות/חובה</t>
        </is>
      </c>
      <c r="E46" s="62" t="inlineStr">
        <is>
          <t>מיון שגוי חוזר</t>
        </is>
      </c>
      <c r="F46" s="62" t="inlineStr">
        <is>
          <t>בדוח הורים: תווית הקושי שהמנוע מצא + הסבר מאושר מתחתיה</t>
        </is>
      </c>
      <c r="G46" s="62" t="inlineStr">
        <is>
          <t>המערכת זיהתה קושי בהבחנה בין זכות לבין חובה. זכות היא דבר שמגיע לאדם או לאזרח, וחובה היא דבר שמצופה ממנו לעשות או לקיים.</t>
        </is>
      </c>
      <c r="H46" s="62" t="inlineStr">
        <is>
          <t>זכות לחינוך / חובה לשמור על הכללים</t>
        </is>
      </c>
      <c r="I46" s="62" t="inlineStr">
        <is>
          <t>מיושם ומאושר</t>
        </is>
      </c>
      <c r="J46" s="62" t="inlineStr">
        <is>
          <t>owner_moledet_geography_batch_approved</t>
        </is>
      </c>
      <c r="K46" s="62" t="inlineStr">
        <is>
          <t>האצווה הושלמה; התווית המקצועית נשארת וההסבר מופיע רק אם האבחון הזה אובחן.</t>
        </is>
      </c>
    </row>
    <row r="47" ht="60" customHeight="1" s="56">
      <c r="A47" s="62" t="inlineStr">
        <is>
          <t>מולדת/גאוגרפיה</t>
        </is>
      </c>
      <c r="B47" s="62" t="inlineStr">
        <is>
          <t>MG-04</t>
        </is>
      </c>
      <c r="C47" s="62" t="inlineStr">
        <is>
          <t>finding:taxonomy:MG-04</t>
        </is>
      </c>
      <c r="D47" s="62" t="inlineStr">
        <is>
          <t>היסטוריה — סדר אירועים</t>
        </is>
      </c>
      <c r="E47" s="62" t="inlineStr">
        <is>
          <t>סדר הפוך</t>
        </is>
      </c>
      <c r="F47" s="62" t="inlineStr">
        <is>
          <t>בדוח הורים: תווית הקושי שהמנוע מצא + הסבר מאושר מתחתיה</t>
        </is>
      </c>
      <c r="G47" s="62" t="inlineStr">
        <is>
          <t>המערכת זיהתה קושי בסידור אירועים לפי רצף זמן. הכוונה היא להבין מה קרה קודם, מה קרה אחר כך, ואיך האירועים קשורים זה לזה.</t>
        </is>
      </c>
      <c r="H47" s="62" t="inlineStr">
        <is>
          <t>לפני / אחרי</t>
        </is>
      </c>
      <c r="I47" s="62" t="inlineStr">
        <is>
          <t>מיושם ומאושר</t>
        </is>
      </c>
      <c r="J47" s="62" t="inlineStr">
        <is>
          <t>owner_moledet_geography_batch_approved</t>
        </is>
      </c>
      <c r="K47" s="62" t="inlineStr">
        <is>
          <t>האצווה הושלמה; התווית המקצועית נשארת וההסבר מופיע רק אם האבחון הזה אובחן.</t>
        </is>
      </c>
    </row>
    <row r="48" ht="60" customHeight="1" s="56">
      <c r="A48" s="62" t="inlineStr">
        <is>
          <t>מולדת/גאוגרפיה</t>
        </is>
      </c>
      <c r="B48" s="62" t="inlineStr">
        <is>
          <t>MG-05</t>
        </is>
      </c>
      <c r="C48" s="62" t="inlineStr">
        <is>
          <t>finding:taxonomy:MG-05</t>
        </is>
      </c>
      <c r="D48" s="62" t="inlineStr">
        <is>
          <t>גאוגרפיה — מפת אקלים</t>
        </is>
      </c>
      <c r="E48" s="62" t="inlineStr">
        <is>
          <t>אזור שגוי חוזר</t>
        </is>
      </c>
      <c r="F48" s="62" t="inlineStr">
        <is>
          <t>בדוח הורים: תווית הקושי שהמנוע מצא + הסבר מאושר מתחתיה</t>
        </is>
      </c>
      <c r="G48" s="62" t="inlineStr">
        <is>
          <t>המערכת זיהתה קושי בקריאת מפת אקלים. הכוונה היא להשתמש בצבעים, בסימנים ובמקרא כדי להבין איזה סוג אקלים מופיע בכל אזור.</t>
        </is>
      </c>
      <c r="H48" s="62" t="inlineStr">
        <is>
          <t>מדברי / ים־תיכוני</t>
        </is>
      </c>
      <c r="I48" s="62" t="inlineStr">
        <is>
          <t>מיושם ומאושר</t>
        </is>
      </c>
      <c r="J48" s="62" t="inlineStr">
        <is>
          <t>owner_moledet_geography_batch_approved</t>
        </is>
      </c>
      <c r="K48" s="62" t="inlineStr">
        <is>
          <t>האצווה הושלמה; התווית המקצועית נשארת וההסבר מופיע רק אם האבחון הזה אובחן.</t>
        </is>
      </c>
    </row>
    <row r="49" ht="60" customHeight="1" s="56">
      <c r="A49" s="62" t="inlineStr">
        <is>
          <t>מולדת/גאוגרפיה</t>
        </is>
      </c>
      <c r="B49" s="62" t="inlineStr">
        <is>
          <t>MG-06</t>
        </is>
      </c>
      <c r="C49" s="62" t="inlineStr">
        <is>
          <t>finding:taxonomy:MG-06</t>
        </is>
      </c>
      <c r="D49" s="62" t="inlineStr">
        <is>
          <t>אוכלוסין — סיבה־תוצאה</t>
        </is>
      </c>
      <c r="E49" s="62" t="inlineStr">
        <is>
          <t>סיבה שגויה חוזרת</t>
        </is>
      </c>
      <c r="F49" s="62" t="inlineStr">
        <is>
          <t>בדוח הורים: תווית הקושי שהמנוע מצא + הסבר מאושר מתחתיה</t>
        </is>
      </c>
      <c r="G49" s="62" t="inlineStr">
        <is>
          <t>המערכת זיהתה קושי בהבנת קשר של סיבה ותוצאה. הכוונה היא לזהות למה משהו קרה, ומה קרה בעקבותיו.</t>
        </is>
      </c>
      <c r="H49" s="62" t="inlineStr">
        <is>
          <t>הגירה בגלל עבודה</t>
        </is>
      </c>
      <c r="I49" s="62" t="inlineStr">
        <is>
          <t>מיושם ומאושר</t>
        </is>
      </c>
      <c r="J49" s="62" t="inlineStr">
        <is>
          <t>owner_moledet_geography_batch_approved</t>
        </is>
      </c>
      <c r="K49" s="62" t="inlineStr">
        <is>
          <t>האצווה הושלמה; התווית המקצועית נשארת וההסבר מופיע רק אם האבחון הזה אובחן.</t>
        </is>
      </c>
    </row>
    <row r="50" ht="60" customHeight="1" s="56">
      <c r="A50" s="62" t="inlineStr">
        <is>
          <t>מולדת/גאוגרפיה</t>
        </is>
      </c>
      <c r="B50" s="62" t="inlineStr">
        <is>
          <t>MG-07</t>
        </is>
      </c>
      <c r="C50" s="62" t="inlineStr">
        <is>
          <t>finding:taxonomy:MG-07</t>
        </is>
      </c>
      <c r="D50" s="62" t="inlineStr">
        <is>
          <t>אזרחות — תפקיד מוסד</t>
        </is>
      </c>
      <c r="E50" s="62" t="inlineStr">
        <is>
          <t>בלבול תפקידים</t>
        </is>
      </c>
      <c r="F50" s="62" t="inlineStr">
        <is>
          <t>בדוח הורים: תווית הקושי שהמנוע מצא + הסבר מאושר מתחתיה</t>
        </is>
      </c>
      <c r="G50" s="62" t="inlineStr">
        <is>
          <t>המערכת זיהתה קושי בהבנת התפקיד של מוסדות ציבור. הכוונה היא לדעת מה עושה כל מוסד ומה האחריות שלו בחברה.</t>
        </is>
      </c>
      <c r="H50" s="62" t="inlineStr">
        <is>
          <t>כנסת — חקיקה / בית משפט — שיפוט</t>
        </is>
      </c>
      <c r="I50" s="62" t="inlineStr">
        <is>
          <t>מיושם ומאושר</t>
        </is>
      </c>
      <c r="J50" s="62" t="inlineStr">
        <is>
          <t>owner_moledet_geography_batch_approved</t>
        </is>
      </c>
      <c r="K50" s="62" t="inlineStr">
        <is>
          <t>האצווה הושלמה; התווית המקצועית נשארת וההסבר מופיע רק אם האבחון הזה אובחן.</t>
        </is>
      </c>
    </row>
    <row r="51" ht="60" customHeight="1" s="56">
      <c r="A51" s="62" t="inlineStr">
        <is>
          <t>מולדת/גאוגרפיה</t>
        </is>
      </c>
      <c r="B51" s="62" t="inlineStr">
        <is>
          <t>MG-08</t>
        </is>
      </c>
      <c r="C51" s="62" t="inlineStr">
        <is>
          <t>finding:taxonomy:MG-08</t>
        </is>
      </c>
      <c r="D51" s="62" t="inlineStr">
        <is>
          <t>מפות — סימבולים</t>
        </is>
      </c>
      <c r="E51" s="62" t="inlineStr">
        <is>
          <t>סימול שגוי חוזר</t>
        </is>
      </c>
      <c r="F51" s="62" t="inlineStr">
        <is>
          <t>בדוח הורים: תווית הקושי שהמנוע מצא + הסבר מאושר מתחתיה</t>
        </is>
      </c>
      <c r="G51" s="62" t="inlineStr">
        <is>
          <t>המערכת זיהתה קושי בהבנת סימנים במפה. הכוונה היא להשתמש במקרא המפה כדי להבין מה מסמנים כביש, נהר, יישוב, גבול או מקום חשוב.</t>
        </is>
      </c>
      <c r="H51" s="62" t="inlineStr">
        <is>
          <t>מקרא מפה</t>
        </is>
      </c>
      <c r="I51" s="62" t="inlineStr">
        <is>
          <t>מיושם ומאושר</t>
        </is>
      </c>
      <c r="J51" s="62" t="inlineStr">
        <is>
          <t>owner_moledet_geography_batch_approved</t>
        </is>
      </c>
      <c r="K51" s="62" t="inlineStr">
        <is>
          <t>האצווה הושלמה; התווית המקצועית נשארת וההסבר מופיע רק אם האבחון הזה אובחן.</t>
        </is>
      </c>
    </row>
  </sheetData>
  <autoFilter ref="A1:K51"/>
  <conditionalFormatting sqref="I2:I51">
    <cfRule type="expression" priority="1" dxfId="0">
      <formula>I2="מיושם ומאושר"</formula>
    </cfRule>
    <cfRule type="expression" priority="2" dxfId="1">
      <formula>I2="ממתין ליישום/אישור"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6" min="1" max="1"/>
    <col width="26" customWidth="1" style="56" min="2" max="2"/>
    <col width="26" customWidth="1" style="56" min="3" max="3"/>
    <col width="26" customWidth="1" style="56" min="4" max="4"/>
    <col width="26" customWidth="1" style="56" min="5" max="5"/>
    <col width="26" customWidth="1" style="56" min="6" max="6"/>
    <col width="26" customWidth="1" style="56" min="7" max="7"/>
    <col width="26" customWidth="1" style="56" min="8" max="8"/>
  </cols>
  <sheetData>
    <row r="1" ht="26" customHeight="1" s="56">
      <c r="A1" s="57" t="inlineStr">
        <is>
          <t>סיכום לפי מקצוע</t>
        </is>
      </c>
      <c r="B1" s="1" t="n"/>
      <c r="C1" s="1" t="n"/>
      <c r="D1" s="1" t="n"/>
      <c r="E1" s="1" t="n"/>
      <c r="F1" s="1" t="n"/>
    </row>
    <row r="2" ht="26" customHeight="1" s="56"/>
    <row r="3" ht="26" customHeight="1" s="56">
      <c r="A3" s="61" t="inlineStr">
        <is>
          <t>מקצוע</t>
        </is>
      </c>
      <c r="B3" s="61" t="inlineStr">
        <is>
          <t>סה״כ אבחונים</t>
        </is>
      </c>
      <c r="C3" s="61" t="inlineStr">
        <is>
          <t>מיושם ומאושר</t>
        </is>
      </c>
      <c r="D3" s="61" t="inlineStr">
        <is>
          <t>ממתין</t>
        </is>
      </c>
      <c r="E3" s="61" t="inlineStr">
        <is>
          <t>אחוז מיושם</t>
        </is>
      </c>
      <c r="F3" s="61" t="inlineStr">
        <is>
          <t>הערה</t>
        </is>
      </c>
    </row>
    <row r="4" ht="40" customHeight="1" s="56">
      <c r="A4" s="62" t="inlineStr">
        <is>
          <t>מתמטיקה</t>
        </is>
      </c>
      <c r="B4" s="62">
        <f>COUNTIF('02_מיפוי_מלא'!$A:$A,A4)</f>
        <v/>
      </c>
      <c r="C4" s="62">
        <f>COUNTIFS('02_מיפוי_מלא'!$A:$A,A4,'02_מיפוי_מלא'!$I:$I,"מיושם ומאושר")</f>
        <v/>
      </c>
      <c r="D4" s="62">
        <f>COUNTIFS('02_מיפוי_מלא'!$A:$A,A4,'02_מיפוי_מלא'!$I:$I,"ממתין ליישום/אישור")</f>
        <v/>
      </c>
      <c r="E4" s="63">
        <f>IF(B4=0,0,C4/B4)</f>
        <v/>
      </c>
      <c r="F4" s="62" t="inlineStr">
        <is>
          <t>בוצע</t>
        </is>
      </c>
    </row>
    <row r="5" ht="40" customHeight="1" s="56">
      <c r="A5" s="62" t="inlineStr">
        <is>
          <t>גיאומטריה</t>
        </is>
      </c>
      <c r="B5" s="62">
        <f>COUNTIF('02_מיפוי_מלא'!$A:$A,A5)</f>
        <v/>
      </c>
      <c r="C5" s="62">
        <f>COUNTIFS('02_מיפוי_מלא'!$A:$A,A5,'02_מיפוי_מלא'!$I:$I,"מיושם ומאושר")</f>
        <v/>
      </c>
      <c r="D5" s="62">
        <f>COUNTIFS('02_מיפוי_מלא'!$A:$A,A5,'02_מיפוי_מלא'!$I:$I,"ממתין ליישום/אישור")</f>
        <v/>
      </c>
      <c r="E5" s="63">
        <f>IF(B5=0,0,C5/B5)</f>
        <v/>
      </c>
      <c r="F5" s="62" t="inlineStr">
        <is>
          <t>בוצע</t>
        </is>
      </c>
    </row>
    <row r="6" ht="40" customHeight="1" s="56">
      <c r="A6" s="62" t="inlineStr">
        <is>
          <t>עברית</t>
        </is>
      </c>
      <c r="B6" s="62">
        <f>COUNTIF('02_מיפוי_מלא'!$A:$A,A6)</f>
        <v/>
      </c>
      <c r="C6" s="62">
        <f>COUNTIFS('02_מיפוי_מלא'!$A:$A,A6,'02_מיפוי_מלא'!$I:$I,"מיושם ומאושר")</f>
        <v/>
      </c>
      <c r="D6" s="62">
        <f>COUNTIFS('02_מיפוי_מלא'!$A:$A,A6,'02_מיפוי_מלא'!$I:$I,"ממתין ליישום/אישור")</f>
        <v/>
      </c>
      <c r="E6" s="63">
        <f>IF(B6=0,0,C6/B6)</f>
        <v/>
      </c>
      <c r="F6" s="62" t="inlineStr">
        <is>
          <t>בוצע</t>
        </is>
      </c>
    </row>
    <row r="7" ht="40" customHeight="1" s="56">
      <c r="A7" s="62" t="inlineStr">
        <is>
          <t>אנגלית</t>
        </is>
      </c>
      <c r="B7" s="62">
        <f>COUNTIF('02_מיפוי_מלא'!$A:$A,A7)</f>
        <v/>
      </c>
      <c r="C7" s="62">
        <f>COUNTIFS('02_מיפוי_מלא'!$A:$A,A7,'02_מיפוי_מלא'!$I:$I,"מיושם ומאושר")</f>
        <v/>
      </c>
      <c r="D7" s="62">
        <f>COUNTIFS('02_מיפוי_מלא'!$A:$A,A7,'02_מיפוי_מלא'!$I:$I,"ממתין ליישום/אישור")</f>
        <v/>
      </c>
      <c r="E7" s="63">
        <f>IF(B7=0,0,C7/B7)</f>
        <v/>
      </c>
      <c r="F7" s="62" t="inlineStr">
        <is>
          <t>בוצע</t>
        </is>
      </c>
    </row>
    <row r="8" ht="40" customHeight="1" s="56">
      <c r="A8" s="62" t="inlineStr">
        <is>
          <t>מדעים</t>
        </is>
      </c>
      <c r="B8" s="62">
        <f>COUNTIF('02_מיפוי_מלא'!$A:$A,A8)</f>
        <v/>
      </c>
      <c r="C8" s="62">
        <f>COUNTIFS('02_מיפוי_מלא'!$A:$A,A8,'02_מיפוי_מלא'!$I:$I,"מיושם ומאושר")</f>
        <v/>
      </c>
      <c r="D8" s="62">
        <f>COUNTIFS('02_מיפוי_מלא'!$A:$A,A8,'02_מיפוי_מלא'!$I:$I,"ממתין ליישום/אישור")</f>
        <v/>
      </c>
      <c r="E8" s="63">
        <f>IF(B8=0,0,C8/B8)</f>
        <v/>
      </c>
      <c r="F8" s="62" t="inlineStr">
        <is>
          <t>בוצע</t>
        </is>
      </c>
    </row>
    <row r="9" ht="26" customHeight="1" s="56">
      <c r="A9" s="62" t="inlineStr">
        <is>
          <t>מולדת/גאוגרפיה</t>
        </is>
      </c>
      <c r="B9" s="62">
        <f>COUNTIF('02_מיפוי_מלא'!$A:$A,A9)</f>
        <v/>
      </c>
      <c r="C9" s="62" t="n">
        <v>8</v>
      </c>
      <c r="D9" s="62" t="n">
        <v>0</v>
      </c>
      <c r="E9" s="63" t="n">
        <v>1</v>
      </c>
      <c r="F9" s="62" t="inlineStr">
        <is>
          <t>בוצע</t>
        </is>
      </c>
    </row>
    <row r="10" ht="26" customHeight="1" s="56">
      <c r="A10" s="64" t="inlineStr">
        <is>
          <t>סה״כ</t>
        </is>
      </c>
      <c r="B10" s="64">
        <f>SUM(B4:B9)</f>
        <v/>
      </c>
      <c r="C10" s="64" t="n">
        <v>50</v>
      </c>
      <c r="D10" s="64" t="n">
        <v>0</v>
      </c>
      <c r="E10" s="65" t="n">
        <v>1</v>
      </c>
      <c r="F10" s="64" t="inlineStr">
        <is>
          <t>כל 50 האבחונים מיושמים ומאושרים</t>
        </is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56" min="1" max="1"/>
    <col width="26" customWidth="1" style="56" min="2" max="2"/>
    <col width="26" customWidth="1" style="56" min="3" max="3"/>
    <col width="26" customWidth="1" style="56" min="4" max="4"/>
    <col width="26" customWidth="1" style="56" min="5" max="5"/>
    <col width="26" customWidth="1" style="56" min="6" max="6"/>
    <col width="26" customWidth="1" style="56" min="7" max="7"/>
    <col width="26" customWidth="1" style="56" min="8" max="8"/>
  </cols>
  <sheetData>
    <row r="1" ht="26" customHeight="1" s="56">
      <c r="A1" s="57" t="inlineStr">
        <is>
          <t>כללי תצוגה ויישום</t>
        </is>
      </c>
      <c r="B1" s="1" t="n"/>
      <c r="C1" s="1" t="n"/>
      <c r="D1" s="1" t="n"/>
      <c r="E1" s="1" t="n"/>
      <c r="F1" s="1" t="n"/>
    </row>
    <row r="2" ht="26" customHeight="1" s="56"/>
    <row r="3" ht="26" customHeight="1" s="56">
      <c r="A3" s="61" t="inlineStr">
        <is>
          <t>כלל</t>
        </is>
      </c>
      <c r="B3" s="61" t="inlineStr">
        <is>
          <t>מה עושים</t>
        </is>
      </c>
      <c r="C3" s="61" t="inlineStr">
        <is>
          <t>מה לא עושים</t>
        </is>
      </c>
    </row>
    <row r="4" ht="40" customHeight="1" s="56">
      <c r="A4" s="62" t="inlineStr">
        <is>
          <t>הצגת הסבר</t>
        </is>
      </c>
      <c r="B4" s="62" t="inlineStr">
        <is>
          <t>מציגים רק אם אותו finding אובחן בפועל בדוח ההורים.</t>
        </is>
      </c>
      <c r="C4" s="62" t="inlineStr">
        <is>
          <t>לא מציגים הסברים לנושאים שלא אובחנו.</t>
        </is>
      </c>
    </row>
    <row r="5" ht="40" customHeight="1" s="56">
      <c r="A5" s="62" t="inlineStr">
        <is>
          <t>תווית מקצועית</t>
        </is>
      </c>
      <c r="B5" s="62" t="inlineStr">
        <is>
          <t>משאירים את שם האבחון/דפוס המנוע כמו שהוא.</t>
        </is>
      </c>
      <c r="C5" s="62" t="inlineStr">
        <is>
          <t>לא משנים/מחליפים מונחים מקצועיים כמו נשיאה, collocation או שימור מסה.</t>
        </is>
      </c>
    </row>
    <row r="6" ht="26" customHeight="1" s="56">
      <c r="A6" s="62" t="inlineStr">
        <is>
          <t>עברית</t>
        </is>
      </c>
      <c r="B6" s="62" t="inlineStr">
        <is>
          <t>משתמשים רק בנוסח עברי שאושר מראש.</t>
        </is>
      </c>
      <c r="C6" s="62" t="inlineStr">
        <is>
          <t>לא נותנים ל־Cursor לנסח לבד.</t>
        </is>
      </c>
    </row>
    <row r="7" ht="40" customHeight="1" s="56">
      <c r="A7" s="62" t="inlineStr">
        <is>
          <t>מיקום</t>
        </is>
      </c>
      <c r="B7" s="62" t="inlineStr">
        <is>
          <t>בדוח הקצר: מתחת לשורת הקושי. בדוח המפורט: ליד/מתחת לאבחון הגלוי.</t>
        </is>
      </c>
      <c r="C7" s="62" t="inlineStr">
        <is>
          <t>לא בתוך המלצות פעולה, מטרות שבועיות או גלוסרי.</t>
        </is>
      </c>
    </row>
    <row r="8" ht="26" customHeight="1" s="56">
      <c r="A8" s="62" t="inlineStr">
        <is>
          <t>דוגמאות</t>
        </is>
      </c>
      <c r="B8" s="62" t="inlineStr">
        <is>
          <t>דוגמה בשורה נפרדת עם טיפול כיוון מתאים.</t>
        </is>
      </c>
      <c r="C8" s="62" t="inlineStr">
        <is>
          <t>לא לשים תרגיל באמצע משפט עברי.</t>
        </is>
      </c>
    </row>
    <row r="9" ht="26" customHeight="1" s="56">
      <c r="A9" s="62" t="inlineStr">
        <is>
          <t>דוחות אחרים</t>
        </is>
      </c>
      <c r="B9" s="62" t="inlineStr">
        <is>
          <t>השינוי הוא לדוח הורים בלבד.</t>
        </is>
      </c>
      <c r="C9" s="62" t="inlineStr">
        <is>
          <t>לא לגעת בדוחות מורים/בית ספר/מנהל/כיתה.</t>
        </is>
      </c>
    </row>
    <row r="10" ht="26" customHeight="1" s="56">
      <c r="A10" s="62" t="inlineStr">
        <is>
          <t>לא ממופה</t>
        </is>
      </c>
      <c r="B10" s="62" t="inlineStr">
        <is>
          <t>אם אין key מאושר — לא מציגים הסבר.</t>
        </is>
      </c>
      <c r="C10" s="62" t="inlineStr">
        <is>
          <t>לא להמציא טקסט מילוי.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2026-05-31T22:31:08Z</dcterms:created>
  <dcterms:modified xmlns:dcterms="http://purl.org/dc/terms/" xmlns:xsi="http://www.w3.org/2001/XMLSchema-instance" xsi:type="dcterms:W3CDTF">2026-05-31T22:31:08Z</dcterms:modified>
</cp:coreProperties>
</file>